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财务总表" sheetId="1" state="visible" r:id="rId1"/>
    <sheet xmlns:r="http://schemas.openxmlformats.org/officeDocument/2006/relationships" name="产品销售明细" sheetId="2" state="visible" r:id="rId2"/>
    <sheet xmlns:r="http://schemas.openxmlformats.org/officeDocument/2006/relationships" name="员工信息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1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3" fillId="0" borderId="0" pivotButton="0" quotePrefix="0" xfId="0"/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月度营收与成本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'年度财务总表'!B3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'年度财务总表'!$A$4:$A$15</f>
            </numRef>
          </cat>
          <val>
            <numRef>
              <f>'年度财务总表'!$B$4:$B$15</f>
            </numRef>
          </val>
        </ser>
        <ser>
          <idx val="1"/>
          <order val="1"/>
          <tx>
            <strRef>
              <f>'年度财务总表'!C3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'年度财务总表'!$A$4:$A$15</f>
            </numRef>
          </cat>
          <val>
            <numRef>
              <f>'年度财务总表'!$C$4:$C$15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星辰科技有限公司 2025年度财务报表</t>
        </is>
      </c>
    </row>
    <row r="3">
      <c r="A3" s="2" t="inlineStr">
        <is>
          <t>月份</t>
        </is>
      </c>
      <c r="B3" s="2" t="inlineStr">
        <is>
          <t>营业收入</t>
        </is>
      </c>
      <c r="C3" s="2" t="inlineStr">
        <is>
          <t>营业成本</t>
        </is>
      </c>
      <c r="D3" s="2" t="inlineStr">
        <is>
          <t>毛利润</t>
        </is>
      </c>
      <c r="E3" s="2" t="inlineStr">
        <is>
          <t>毛利率</t>
        </is>
      </c>
      <c r="F3" s="2" t="inlineStr">
        <is>
          <t>研发费用</t>
        </is>
      </c>
      <c r="G3" s="2" t="inlineStr">
        <is>
          <t>销售费用</t>
        </is>
      </c>
      <c r="H3" s="2" t="inlineStr">
        <is>
          <t>净利润</t>
        </is>
      </c>
    </row>
    <row r="4">
      <c r="A4" s="3" t="inlineStr">
        <is>
          <t>1月</t>
        </is>
      </c>
      <c r="B4" s="3" t="n">
        <v>1200000</v>
      </c>
      <c r="C4" s="3" t="n">
        <v>800000</v>
      </c>
      <c r="D4" s="3">
        <f>B4-C4</f>
        <v/>
      </c>
      <c r="E4" s="4">
        <f>IF(B4&gt;0,D4/B4,0)</f>
        <v/>
      </c>
      <c r="F4" s="3" t="n">
        <v>200000</v>
      </c>
      <c r="G4" s="3" t="n">
        <v>120000</v>
      </c>
      <c r="H4" s="5">
        <f>D4-F4-G4-B4*0.05</f>
        <v/>
      </c>
    </row>
    <row r="5">
      <c r="A5" s="3" t="inlineStr">
        <is>
          <t>2月</t>
        </is>
      </c>
      <c r="B5" s="3" t="n">
        <v>1350000</v>
      </c>
      <c r="C5" s="3" t="n">
        <v>850000</v>
      </c>
      <c r="D5" s="3">
        <f>B5-C5</f>
        <v/>
      </c>
      <c r="E5" s="4">
        <f>IF(B5&gt;0,D5/B5,0)</f>
        <v/>
      </c>
      <c r="F5" s="3" t="n">
        <v>220000</v>
      </c>
      <c r="G5" s="3" t="n">
        <v>130000</v>
      </c>
      <c r="H5" s="5">
        <f>D5-F5-G5-B5*0.05</f>
        <v/>
      </c>
    </row>
    <row r="6">
      <c r="A6" s="3" t="inlineStr">
        <is>
          <t>3月</t>
        </is>
      </c>
      <c r="B6" s="3" t="n">
        <v>1480000</v>
      </c>
      <c r="C6" s="3" t="n">
        <v>900000</v>
      </c>
      <c r="D6" s="3">
        <f>B6-C6</f>
        <v/>
      </c>
      <c r="E6" s="4">
        <f>IF(B6&gt;0,D6/B6,0)</f>
        <v/>
      </c>
      <c r="F6" s="3" t="n">
        <v>240000</v>
      </c>
      <c r="G6" s="3" t="n">
        <v>140000</v>
      </c>
      <c r="H6" s="5">
        <f>D6-F6-G6-B6*0.05</f>
        <v/>
      </c>
    </row>
    <row r="7">
      <c r="A7" s="3" t="inlineStr">
        <is>
          <t>4月</t>
        </is>
      </c>
      <c r="B7" s="3" t="n">
        <v>1620000</v>
      </c>
      <c r="C7" s="3" t="n">
        <v>950000</v>
      </c>
      <c r="D7" s="3">
        <f>B7-C7</f>
        <v/>
      </c>
      <c r="E7" s="4">
        <f>IF(B7&gt;0,D7/B7,0)</f>
        <v/>
      </c>
      <c r="F7" s="3" t="n">
        <v>260000</v>
      </c>
      <c r="G7" s="3" t="n">
        <v>150000</v>
      </c>
      <c r="H7" s="5">
        <f>D7-F7-G7-B7*0.05</f>
        <v/>
      </c>
    </row>
    <row r="8">
      <c r="A8" s="3" t="inlineStr">
        <is>
          <t>5月</t>
        </is>
      </c>
      <c r="B8" s="3" t="n">
        <v>1750000</v>
      </c>
      <c r="C8" s="3" t="n">
        <v>1000000</v>
      </c>
      <c r="D8" s="3">
        <f>B8-C8</f>
        <v/>
      </c>
      <c r="E8" s="4">
        <f>IF(B8&gt;0,D8/B8,0)</f>
        <v/>
      </c>
      <c r="F8" s="3" t="n">
        <v>280000</v>
      </c>
      <c r="G8" s="3" t="n">
        <v>160000</v>
      </c>
      <c r="H8" s="5">
        <f>D8-F8-G8-B8*0.05</f>
        <v/>
      </c>
    </row>
    <row r="9">
      <c r="A9" s="3" t="inlineStr">
        <is>
          <t>6月</t>
        </is>
      </c>
      <c r="B9" s="3" t="n">
        <v>1900000</v>
      </c>
      <c r="C9" s="3" t="n">
        <v>1050000</v>
      </c>
      <c r="D9" s="3">
        <f>B9-C9</f>
        <v/>
      </c>
      <c r="E9" s="4">
        <f>IF(B9&gt;0,D9/B9,0)</f>
        <v/>
      </c>
      <c r="F9" s="3" t="n">
        <v>300000</v>
      </c>
      <c r="G9" s="3" t="n">
        <v>170000</v>
      </c>
      <c r="H9" s="5">
        <f>D9-F9-G9-B9*0.05</f>
        <v/>
      </c>
    </row>
    <row r="10">
      <c r="A10" s="3" t="inlineStr">
        <is>
          <t>7月</t>
        </is>
      </c>
      <c r="B10" s="3" t="n">
        <v>2050000</v>
      </c>
      <c r="C10" s="3" t="n">
        <v>1100000</v>
      </c>
      <c r="D10" s="3">
        <f>B10-C10</f>
        <v/>
      </c>
      <c r="E10" s="4">
        <f>IF(B10&gt;0,D10/B10,0)</f>
        <v/>
      </c>
      <c r="F10" s="3" t="n">
        <v>320000</v>
      </c>
      <c r="G10" s="3" t="n">
        <v>180000</v>
      </c>
      <c r="H10" s="5">
        <f>D10-F10-G10-B10*0.05</f>
        <v/>
      </c>
    </row>
    <row r="11">
      <c r="A11" s="3" t="inlineStr">
        <is>
          <t>8月</t>
        </is>
      </c>
      <c r="B11" s="3" t="n">
        <v>2200000</v>
      </c>
      <c r="C11" s="3" t="n">
        <v>1150000</v>
      </c>
      <c r="D11" s="3">
        <f>B11-C11</f>
        <v/>
      </c>
      <c r="E11" s="4">
        <f>IF(B11&gt;0,D11/B11,0)</f>
        <v/>
      </c>
      <c r="F11" s="3" t="n">
        <v>340000</v>
      </c>
      <c r="G11" s="3" t="n">
        <v>190000</v>
      </c>
      <c r="H11" s="5">
        <f>D11-F11-G11-B11*0.05</f>
        <v/>
      </c>
    </row>
    <row r="12">
      <c r="A12" s="3" t="inlineStr">
        <is>
          <t>9月</t>
        </is>
      </c>
      <c r="B12" s="3" t="n">
        <v>2350000</v>
      </c>
      <c r="C12" s="3" t="n">
        <v>1200000</v>
      </c>
      <c r="D12" s="3">
        <f>B12-C12</f>
        <v/>
      </c>
      <c r="E12" s="4">
        <f>IF(B12&gt;0,D12/B12,0)</f>
        <v/>
      </c>
      <c r="F12" s="3" t="n">
        <v>360000</v>
      </c>
      <c r="G12" s="3" t="n">
        <v>200000</v>
      </c>
      <c r="H12" s="5">
        <f>D12-F12-G12-B12*0.05</f>
        <v/>
      </c>
    </row>
    <row r="13">
      <c r="A13" s="3" t="inlineStr">
        <is>
          <t>10月</t>
        </is>
      </c>
      <c r="B13" s="3" t="n">
        <v>2500000</v>
      </c>
      <c r="C13" s="3" t="n">
        <v>1250000</v>
      </c>
      <c r="D13" s="3">
        <f>B13-C13</f>
        <v/>
      </c>
      <c r="E13" s="4">
        <f>IF(B13&gt;0,D13/B13,0)</f>
        <v/>
      </c>
      <c r="F13" s="3" t="n">
        <v>380000</v>
      </c>
      <c r="G13" s="3" t="n">
        <v>210000</v>
      </c>
      <c r="H13" s="5">
        <f>D13-F13-G13-B13*0.05</f>
        <v/>
      </c>
    </row>
    <row r="14">
      <c r="A14" s="3" t="inlineStr">
        <is>
          <t>11月</t>
        </is>
      </c>
      <c r="B14" s="3" t="n">
        <v>2680000</v>
      </c>
      <c r="C14" s="3" t="n">
        <v>1300000</v>
      </c>
      <c r="D14" s="3">
        <f>B14-C14</f>
        <v/>
      </c>
      <c r="E14" s="4">
        <f>IF(B14&gt;0,D14/B14,0)</f>
        <v/>
      </c>
      <c r="F14" s="3" t="n">
        <v>400000</v>
      </c>
      <c r="G14" s="3" t="n">
        <v>220000</v>
      </c>
      <c r="H14" s="5">
        <f>D14-F14-G14-B14*0.05</f>
        <v/>
      </c>
    </row>
    <row r="15">
      <c r="A15" s="3" t="inlineStr">
        <is>
          <t>12月</t>
        </is>
      </c>
      <c r="B15" s="3" t="n">
        <v>2850000</v>
      </c>
      <c r="C15" s="3" t="n">
        <v>1380000</v>
      </c>
      <c r="D15" s="3">
        <f>B15-C15</f>
        <v/>
      </c>
      <c r="E15" s="4">
        <f>IF(B15&gt;0,D15/B15,0)</f>
        <v/>
      </c>
      <c r="F15" s="3" t="n">
        <v>420000</v>
      </c>
      <c r="G15" s="3" t="n">
        <v>230000</v>
      </c>
      <c r="H15" s="5">
        <f>D15-F15-G15-B15*0.05</f>
        <v/>
      </c>
    </row>
    <row r="16">
      <c r="A16" s="6" t="inlineStr">
        <is>
          <t>合计</t>
        </is>
      </c>
      <c r="B16" s="7">
        <f>SUM(B4:B15)</f>
        <v/>
      </c>
      <c r="C16" s="7">
        <f>SUM(C4:C15)</f>
        <v/>
      </c>
      <c r="D16" s="7">
        <f>SUM(D4:D15)</f>
        <v/>
      </c>
      <c r="E16" s="8">
        <f>SUM(E4:E15)</f>
        <v/>
      </c>
      <c r="F16" s="7">
        <f>SUM(F4:F15)</f>
        <v/>
      </c>
      <c r="G16" s="7">
        <f>SUM(G4:G15)</f>
        <v/>
      </c>
      <c r="H16" s="7">
        <f>SUM(H4:H15)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星辰科技有限公司 2025年产品销售明细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2025-11-04</t>
        </is>
      </c>
      <c r="B4" s="3" t="inlineStr">
        <is>
          <t>智能网关GW-2000</t>
        </is>
      </c>
      <c r="C4" s="3" t="inlineStr">
        <is>
          <t>XX环保</t>
        </is>
      </c>
      <c r="D4" s="3" t="n">
        <v>18</v>
      </c>
      <c r="E4" s="5" t="n">
        <v>5980</v>
      </c>
      <c r="F4" s="5">
        <f>D4*E4</f>
        <v/>
      </c>
      <c r="G4" s="3" t="inlineStr">
        <is>
          <t>华东</t>
        </is>
      </c>
    </row>
    <row r="5">
      <c r="A5" s="3" t="inlineStr">
        <is>
          <t>2025-04-05</t>
        </is>
      </c>
      <c r="B5" s="3" t="inlineStr">
        <is>
          <t>安全审计系统</t>
        </is>
      </c>
      <c r="C5" s="3" t="inlineStr">
        <is>
          <t>XX电力</t>
        </is>
      </c>
      <c r="D5" s="3" t="n">
        <v>44</v>
      </c>
      <c r="E5" s="5" t="n">
        <v>35000</v>
      </c>
      <c r="F5" s="5">
        <f>D5*E5</f>
        <v/>
      </c>
      <c r="G5" s="3" t="inlineStr">
        <is>
          <t>西北</t>
        </is>
      </c>
    </row>
    <row r="6">
      <c r="A6" s="3" t="inlineStr">
        <is>
          <t>2025-09-03</t>
        </is>
      </c>
      <c r="B6" s="3" t="inlineStr">
        <is>
          <t>物联网模组</t>
        </is>
      </c>
      <c r="C6" s="3" t="inlineStr">
        <is>
          <t>XX物流</t>
        </is>
      </c>
      <c r="D6" s="3" t="n">
        <v>3</v>
      </c>
      <c r="E6" s="5" t="n">
        <v>1200</v>
      </c>
      <c r="F6" s="5">
        <f>D6*E6</f>
        <v/>
      </c>
      <c r="G6" s="3" t="inlineStr">
        <is>
          <t>华南</t>
        </is>
      </c>
    </row>
    <row r="7">
      <c r="A7" s="3" t="inlineStr">
        <is>
          <t>2025-02-07</t>
        </is>
      </c>
      <c r="B7" s="3" t="inlineStr">
        <is>
          <t>智能网关GW-3000</t>
        </is>
      </c>
      <c r="C7" s="3" t="inlineStr">
        <is>
          <t>XX医疗</t>
        </is>
      </c>
      <c r="D7" s="3" t="n">
        <v>39</v>
      </c>
      <c r="E7" s="5" t="n">
        <v>9980</v>
      </c>
      <c r="F7" s="5">
        <f>D7*E7</f>
        <v/>
      </c>
      <c r="G7" s="3" t="inlineStr">
        <is>
          <t>华南</t>
        </is>
      </c>
    </row>
    <row r="8">
      <c r="A8" s="3" t="inlineStr">
        <is>
          <t>2025-09-07</t>
        </is>
      </c>
      <c r="B8" s="3" t="inlineStr">
        <is>
          <t>安全审计系统</t>
        </is>
      </c>
      <c r="C8" s="3" t="inlineStr">
        <is>
          <t>XX环保</t>
        </is>
      </c>
      <c r="D8" s="3" t="n">
        <v>45</v>
      </c>
      <c r="E8" s="5" t="n">
        <v>35000</v>
      </c>
      <c r="F8" s="5">
        <f>D8*E8</f>
        <v/>
      </c>
      <c r="G8" s="3" t="inlineStr">
        <is>
          <t>华中</t>
        </is>
      </c>
    </row>
    <row r="9">
      <c r="A9" s="3" t="inlineStr">
        <is>
          <t>2025-07-08</t>
        </is>
      </c>
      <c r="B9" s="3" t="inlineStr">
        <is>
          <t>数据分析引擎</t>
        </is>
      </c>
      <c r="C9" s="3" t="inlineStr">
        <is>
          <t>XX医疗</t>
        </is>
      </c>
      <c r="D9" s="3" t="n">
        <v>18</v>
      </c>
      <c r="E9" s="5" t="n">
        <v>80000</v>
      </c>
      <c r="F9" s="5">
        <f>D9*E9</f>
        <v/>
      </c>
      <c r="G9" s="3" t="inlineStr">
        <is>
          <t>东北</t>
        </is>
      </c>
    </row>
    <row r="10">
      <c r="A10" s="3" t="inlineStr">
        <is>
          <t>2025-01-25</t>
        </is>
      </c>
      <c r="B10" s="3" t="inlineStr">
        <is>
          <t>边缘计算节点</t>
        </is>
      </c>
      <c r="C10" s="3" t="inlineStr">
        <is>
          <t>XX水务</t>
        </is>
      </c>
      <c r="D10" s="3" t="n">
        <v>45</v>
      </c>
      <c r="E10" s="5" t="n">
        <v>18800</v>
      </c>
      <c r="F10" s="5">
        <f>D10*E10</f>
        <v/>
      </c>
      <c r="G10" s="3" t="inlineStr">
        <is>
          <t>西南</t>
        </is>
      </c>
    </row>
    <row r="11">
      <c r="A11" s="3" t="inlineStr">
        <is>
          <t>2025-06-09</t>
        </is>
      </c>
      <c r="B11" s="3" t="inlineStr">
        <is>
          <t>智能网关GW-3000</t>
        </is>
      </c>
      <c r="C11" s="3" t="inlineStr">
        <is>
          <t>XX水务</t>
        </is>
      </c>
      <c r="D11" s="3" t="n">
        <v>49</v>
      </c>
      <c r="E11" s="5" t="n">
        <v>9980</v>
      </c>
      <c r="F11" s="5">
        <f>D11*E11</f>
        <v/>
      </c>
      <c r="G11" s="3" t="inlineStr">
        <is>
          <t>华北</t>
        </is>
      </c>
    </row>
    <row r="12">
      <c r="A12" s="3" t="inlineStr">
        <is>
          <t>2025-02-03</t>
        </is>
      </c>
      <c r="B12" s="3" t="inlineStr">
        <is>
          <t>数据分析引擎</t>
        </is>
      </c>
      <c r="C12" s="3" t="inlineStr">
        <is>
          <t>XX电力</t>
        </is>
      </c>
      <c r="D12" s="3" t="n">
        <v>23</v>
      </c>
      <c r="E12" s="5" t="n">
        <v>80000</v>
      </c>
      <c r="F12" s="5">
        <f>D12*E12</f>
        <v/>
      </c>
      <c r="G12" s="3" t="inlineStr">
        <is>
          <t>东北</t>
        </is>
      </c>
    </row>
    <row r="13">
      <c r="A13" s="3" t="inlineStr">
        <is>
          <t>2025-06-20</t>
        </is>
      </c>
      <c r="B13" s="3" t="inlineStr">
        <is>
          <t>云平台-专业版</t>
        </is>
      </c>
      <c r="C13" s="3" t="inlineStr">
        <is>
          <t>XX农业</t>
        </is>
      </c>
      <c r="D13" s="3" t="n">
        <v>3</v>
      </c>
      <c r="E13" s="5" t="n">
        <v>49800</v>
      </c>
      <c r="F13" s="5">
        <f>D13*E13</f>
        <v/>
      </c>
      <c r="G13" s="3" t="inlineStr">
        <is>
          <t>西北</t>
        </is>
      </c>
    </row>
    <row r="14">
      <c r="A14" s="3" t="inlineStr">
        <is>
          <t>2025-08-18</t>
        </is>
      </c>
      <c r="B14" s="3" t="inlineStr">
        <is>
          <t>智能网关GW-2000</t>
        </is>
      </c>
      <c r="C14" s="3" t="inlineStr">
        <is>
          <t>XX物流</t>
        </is>
      </c>
      <c r="D14" s="3" t="n">
        <v>6</v>
      </c>
      <c r="E14" s="5" t="n">
        <v>5980</v>
      </c>
      <c r="F14" s="5">
        <f>D14*E14</f>
        <v/>
      </c>
      <c r="G14" s="3" t="inlineStr">
        <is>
          <t>华中</t>
        </is>
      </c>
    </row>
    <row r="15">
      <c r="A15" s="3" t="inlineStr">
        <is>
          <t>2025-05-27</t>
        </is>
      </c>
      <c r="B15" s="3" t="inlineStr">
        <is>
          <t>安全审计系统</t>
        </is>
      </c>
      <c r="C15" s="3" t="inlineStr">
        <is>
          <t>XX医疗</t>
        </is>
      </c>
      <c r="D15" s="3" t="n">
        <v>24</v>
      </c>
      <c r="E15" s="5" t="n">
        <v>35000</v>
      </c>
      <c r="F15" s="5">
        <f>D15*E15</f>
        <v/>
      </c>
      <c r="G15" s="3" t="inlineStr">
        <is>
          <t>华中</t>
        </is>
      </c>
    </row>
    <row r="16">
      <c r="A16" s="3" t="inlineStr">
        <is>
          <t>2025-04-23</t>
        </is>
      </c>
      <c r="B16" s="3" t="inlineStr">
        <is>
          <t>智能网关GW-2000</t>
        </is>
      </c>
      <c r="C16" s="3" t="inlineStr">
        <is>
          <t>XX电力</t>
        </is>
      </c>
      <c r="D16" s="3" t="n">
        <v>43</v>
      </c>
      <c r="E16" s="5" t="n">
        <v>5980</v>
      </c>
      <c r="F16" s="5">
        <f>D16*E16</f>
        <v/>
      </c>
      <c r="G16" s="3" t="inlineStr">
        <is>
          <t>华东</t>
        </is>
      </c>
    </row>
    <row r="17">
      <c r="A17" s="3" t="inlineStr">
        <is>
          <t>2025-05-03</t>
        </is>
      </c>
      <c r="B17" s="3" t="inlineStr">
        <is>
          <t>边缘计算节点</t>
        </is>
      </c>
      <c r="C17" s="3" t="inlineStr">
        <is>
          <t>XX水务</t>
        </is>
      </c>
      <c r="D17" s="3" t="n">
        <v>7</v>
      </c>
      <c r="E17" s="5" t="n">
        <v>18800</v>
      </c>
      <c r="F17" s="5">
        <f>D17*E17</f>
        <v/>
      </c>
      <c r="G17" s="3" t="inlineStr">
        <is>
          <t>西南</t>
        </is>
      </c>
    </row>
    <row r="18">
      <c r="A18" s="3" t="inlineStr">
        <is>
          <t>2025-05-15</t>
        </is>
      </c>
      <c r="B18" s="3" t="inlineStr">
        <is>
          <t>安全审计系统</t>
        </is>
      </c>
      <c r="C18" s="3" t="inlineStr">
        <is>
          <t>XX农业</t>
        </is>
      </c>
      <c r="D18" s="3" t="n">
        <v>24</v>
      </c>
      <c r="E18" s="5" t="n">
        <v>35000</v>
      </c>
      <c r="F18" s="5">
        <f>D18*E18</f>
        <v/>
      </c>
      <c r="G18" s="3" t="inlineStr">
        <is>
          <t>华东</t>
        </is>
      </c>
    </row>
    <row r="19">
      <c r="A19" s="3" t="inlineStr">
        <is>
          <t>2025-06-12</t>
        </is>
      </c>
      <c r="B19" s="3" t="inlineStr">
        <is>
          <t>智能网关GW-3000</t>
        </is>
      </c>
      <c r="C19" s="3" t="inlineStr">
        <is>
          <t>XX环保</t>
        </is>
      </c>
      <c r="D19" s="3" t="n">
        <v>18</v>
      </c>
      <c r="E19" s="5" t="n">
        <v>9980</v>
      </c>
      <c r="F19" s="5">
        <f>D19*E19</f>
        <v/>
      </c>
      <c r="G19" s="3" t="inlineStr">
        <is>
          <t>西北</t>
        </is>
      </c>
    </row>
    <row r="20">
      <c r="A20" s="3" t="inlineStr">
        <is>
          <t>2025-11-21</t>
        </is>
      </c>
      <c r="B20" s="3" t="inlineStr">
        <is>
          <t>智能网关GW-2000</t>
        </is>
      </c>
      <c r="C20" s="3" t="inlineStr">
        <is>
          <t>XX医疗</t>
        </is>
      </c>
      <c r="D20" s="3" t="n">
        <v>41</v>
      </c>
      <c r="E20" s="5" t="n">
        <v>5980</v>
      </c>
      <c r="F20" s="5">
        <f>D20*E20</f>
        <v/>
      </c>
      <c r="G20" s="3" t="inlineStr">
        <is>
          <t>华东</t>
        </is>
      </c>
    </row>
    <row r="21">
      <c r="A21" s="3" t="inlineStr">
        <is>
          <t>2025-09-24</t>
        </is>
      </c>
      <c r="B21" s="3" t="inlineStr">
        <is>
          <t>智能网关GW-3000</t>
        </is>
      </c>
      <c r="C21" s="3" t="inlineStr">
        <is>
          <t>XX水务</t>
        </is>
      </c>
      <c r="D21" s="3" t="n">
        <v>30</v>
      </c>
      <c r="E21" s="5" t="n">
        <v>9980</v>
      </c>
      <c r="F21" s="5">
        <f>D21*E21</f>
        <v/>
      </c>
      <c r="G21" s="3" t="inlineStr">
        <is>
          <t>西南</t>
        </is>
      </c>
    </row>
    <row r="22">
      <c r="A22" s="3" t="inlineStr">
        <is>
          <t>2025-05-21</t>
        </is>
      </c>
      <c r="B22" s="3" t="inlineStr">
        <is>
          <t>安全审计系统</t>
        </is>
      </c>
      <c r="C22" s="3" t="inlineStr">
        <is>
          <t>XX医疗</t>
        </is>
      </c>
      <c r="D22" s="3" t="n">
        <v>15</v>
      </c>
      <c r="E22" s="5" t="n">
        <v>35000</v>
      </c>
      <c r="F22" s="5">
        <f>D22*E22</f>
        <v/>
      </c>
      <c r="G22" s="3" t="inlineStr">
        <is>
          <t>西北</t>
        </is>
      </c>
    </row>
    <row r="23">
      <c r="A23" s="3" t="inlineStr">
        <is>
          <t>2025-06-27</t>
        </is>
      </c>
      <c r="B23" s="3" t="inlineStr">
        <is>
          <t>边缘计算节点</t>
        </is>
      </c>
      <c r="C23" s="3" t="inlineStr">
        <is>
          <t>XX农业</t>
        </is>
      </c>
      <c r="D23" s="3" t="n">
        <v>4</v>
      </c>
      <c r="E23" s="5" t="n">
        <v>18800</v>
      </c>
      <c r="F23" s="5">
        <f>D23*E23</f>
        <v/>
      </c>
      <c r="G23" s="3" t="inlineStr">
        <is>
          <t>华东</t>
        </is>
      </c>
    </row>
    <row r="24">
      <c r="A24" s="3" t="inlineStr">
        <is>
          <t>2025-01-26</t>
        </is>
      </c>
      <c r="B24" s="3" t="inlineStr">
        <is>
          <t>云平台-专业版</t>
        </is>
      </c>
      <c r="C24" s="3" t="inlineStr">
        <is>
          <t>XX物流</t>
        </is>
      </c>
      <c r="D24" s="3" t="n">
        <v>18</v>
      </c>
      <c r="E24" s="5" t="n">
        <v>49800</v>
      </c>
      <c r="F24" s="5">
        <f>D24*E24</f>
        <v/>
      </c>
      <c r="G24" s="3" t="inlineStr">
        <is>
          <t>华南</t>
        </is>
      </c>
    </row>
    <row r="25">
      <c r="A25" s="3" t="inlineStr">
        <is>
          <t>2025-04-19</t>
        </is>
      </c>
      <c r="B25" s="3" t="inlineStr">
        <is>
          <t>安全审计系统</t>
        </is>
      </c>
      <c r="C25" s="3" t="inlineStr">
        <is>
          <t>XX制造</t>
        </is>
      </c>
      <c r="D25" s="3" t="n">
        <v>14</v>
      </c>
      <c r="E25" s="5" t="n">
        <v>35000</v>
      </c>
      <c r="F25" s="5">
        <f>D25*E25</f>
        <v/>
      </c>
      <c r="G25" s="3" t="inlineStr">
        <is>
          <t>西北</t>
        </is>
      </c>
    </row>
    <row r="26">
      <c r="A26" s="3" t="inlineStr">
        <is>
          <t>2025-08-13</t>
        </is>
      </c>
      <c r="B26" s="3" t="inlineStr">
        <is>
          <t>安全审计系统</t>
        </is>
      </c>
      <c r="C26" s="3" t="inlineStr">
        <is>
          <t>XX物流</t>
        </is>
      </c>
      <c r="D26" s="3" t="n">
        <v>10</v>
      </c>
      <c r="E26" s="5" t="n">
        <v>35000</v>
      </c>
      <c r="F26" s="5">
        <f>D26*E26</f>
        <v/>
      </c>
      <c r="G26" s="3" t="inlineStr">
        <is>
          <t>华北</t>
        </is>
      </c>
    </row>
    <row r="27">
      <c r="A27" s="3" t="inlineStr">
        <is>
          <t>2025-03-08</t>
        </is>
      </c>
      <c r="B27" s="3" t="inlineStr">
        <is>
          <t>安全审计系统</t>
        </is>
      </c>
      <c r="C27" s="3" t="inlineStr">
        <is>
          <t>XX医疗</t>
        </is>
      </c>
      <c r="D27" s="3" t="n">
        <v>35</v>
      </c>
      <c r="E27" s="5" t="n">
        <v>35000</v>
      </c>
      <c r="F27" s="5">
        <f>D27*E27</f>
        <v/>
      </c>
      <c r="G27" s="3" t="inlineStr">
        <is>
          <t>华北</t>
        </is>
      </c>
    </row>
    <row r="28">
      <c r="A28" s="3" t="inlineStr">
        <is>
          <t>2025-12-19</t>
        </is>
      </c>
      <c r="B28" s="3" t="inlineStr">
        <is>
          <t>数据分析引擎</t>
        </is>
      </c>
      <c r="C28" s="3" t="inlineStr">
        <is>
          <t>XX医疗</t>
        </is>
      </c>
      <c r="D28" s="3" t="n">
        <v>26</v>
      </c>
      <c r="E28" s="5" t="n">
        <v>80000</v>
      </c>
      <c r="F28" s="5">
        <f>D28*E28</f>
        <v/>
      </c>
      <c r="G28" s="3" t="inlineStr">
        <is>
          <t>华北</t>
        </is>
      </c>
    </row>
    <row r="29">
      <c r="A29" s="3" t="inlineStr">
        <is>
          <t>2025-04-05</t>
        </is>
      </c>
      <c r="B29" s="3" t="inlineStr">
        <is>
          <t>物联网模组</t>
        </is>
      </c>
      <c r="C29" s="3" t="inlineStr">
        <is>
          <t>XX物流</t>
        </is>
      </c>
      <c r="D29" s="3" t="n">
        <v>6</v>
      </c>
      <c r="E29" s="5" t="n">
        <v>1200</v>
      </c>
      <c r="F29" s="5">
        <f>D29*E29</f>
        <v/>
      </c>
      <c r="G29" s="3" t="inlineStr">
        <is>
          <t>东北</t>
        </is>
      </c>
    </row>
    <row r="30">
      <c r="A30" s="3" t="inlineStr">
        <is>
          <t>2025-01-28</t>
        </is>
      </c>
      <c r="B30" s="3" t="inlineStr">
        <is>
          <t>智能网关GW-2000</t>
        </is>
      </c>
      <c r="C30" s="3" t="inlineStr">
        <is>
          <t>XX水务</t>
        </is>
      </c>
      <c r="D30" s="3" t="n">
        <v>41</v>
      </c>
      <c r="E30" s="5" t="n">
        <v>5980</v>
      </c>
      <c r="F30" s="5">
        <f>D30*E30</f>
        <v/>
      </c>
      <c r="G30" s="3" t="inlineStr">
        <is>
          <t>华东</t>
        </is>
      </c>
    </row>
    <row r="31">
      <c r="A31" s="3" t="inlineStr">
        <is>
          <t>2025-11-14</t>
        </is>
      </c>
      <c r="B31" s="3" t="inlineStr">
        <is>
          <t>物联网模组</t>
        </is>
      </c>
      <c r="C31" s="3" t="inlineStr">
        <is>
          <t>XX电力</t>
        </is>
      </c>
      <c r="D31" s="3" t="n">
        <v>25</v>
      </c>
      <c r="E31" s="5" t="n">
        <v>1200</v>
      </c>
      <c r="F31" s="5">
        <f>D31*E31</f>
        <v/>
      </c>
      <c r="G31" s="3" t="inlineStr">
        <is>
          <t>西南</t>
        </is>
      </c>
    </row>
    <row r="32">
      <c r="A32" s="3" t="inlineStr">
        <is>
          <t>2025-10-15</t>
        </is>
      </c>
      <c r="B32" s="3" t="inlineStr">
        <is>
          <t>物联网模组</t>
        </is>
      </c>
      <c r="C32" s="3" t="inlineStr">
        <is>
          <t>XX制造</t>
        </is>
      </c>
      <c r="D32" s="3" t="n">
        <v>36</v>
      </c>
      <c r="E32" s="5" t="n">
        <v>1200</v>
      </c>
      <c r="F32" s="5">
        <f>D32*E32</f>
        <v/>
      </c>
      <c r="G32" s="3" t="inlineStr">
        <is>
          <t>东北</t>
        </is>
      </c>
    </row>
    <row r="33">
      <c r="A33" s="3" t="inlineStr">
        <is>
          <t>2025-01-22</t>
        </is>
      </c>
      <c r="B33" s="3" t="inlineStr">
        <is>
          <t>安全审计系统</t>
        </is>
      </c>
      <c r="C33" s="3" t="inlineStr">
        <is>
          <t>XX电力</t>
        </is>
      </c>
      <c r="D33" s="3" t="n">
        <v>44</v>
      </c>
      <c r="E33" s="5" t="n">
        <v>35000</v>
      </c>
      <c r="F33" s="5">
        <f>D33*E33</f>
        <v/>
      </c>
      <c r="G33" s="3" t="inlineStr">
        <is>
          <t>华中</t>
        </is>
      </c>
    </row>
    <row r="34">
      <c r="A34" s="3" t="inlineStr">
        <is>
          <t>2025-05-25</t>
        </is>
      </c>
      <c r="B34" s="3" t="inlineStr">
        <is>
          <t>安全审计系统</t>
        </is>
      </c>
      <c r="C34" s="3" t="inlineStr">
        <is>
          <t>XX制造</t>
        </is>
      </c>
      <c r="D34" s="3" t="n">
        <v>8</v>
      </c>
      <c r="E34" s="5" t="n">
        <v>35000</v>
      </c>
      <c r="F34" s="5">
        <f>D34*E34</f>
        <v/>
      </c>
      <c r="G34" s="3" t="inlineStr">
        <is>
          <t>华北</t>
        </is>
      </c>
    </row>
    <row r="35">
      <c r="A35" s="3" t="inlineStr">
        <is>
          <t>2025-07-06</t>
        </is>
      </c>
      <c r="B35" s="3" t="inlineStr">
        <is>
          <t>数据分析引擎</t>
        </is>
      </c>
      <c r="C35" s="3" t="inlineStr">
        <is>
          <t>XX电力</t>
        </is>
      </c>
      <c r="D35" s="3" t="n">
        <v>47</v>
      </c>
      <c r="E35" s="5" t="n">
        <v>80000</v>
      </c>
      <c r="F35" s="5">
        <f>D35*E35</f>
        <v/>
      </c>
      <c r="G35" s="3" t="inlineStr">
        <is>
          <t>西北</t>
        </is>
      </c>
    </row>
    <row r="36">
      <c r="A36" s="3" t="inlineStr">
        <is>
          <t>2025-05-17</t>
        </is>
      </c>
      <c r="B36" s="3" t="inlineStr">
        <is>
          <t>边缘计算节点</t>
        </is>
      </c>
      <c r="C36" s="3" t="inlineStr">
        <is>
          <t>XX水务</t>
        </is>
      </c>
      <c r="D36" s="3" t="n">
        <v>33</v>
      </c>
      <c r="E36" s="5" t="n">
        <v>18800</v>
      </c>
      <c r="F36" s="5">
        <f>D36*E36</f>
        <v/>
      </c>
      <c r="G36" s="3" t="inlineStr">
        <is>
          <t>华南</t>
        </is>
      </c>
    </row>
    <row r="37">
      <c r="A37" s="3" t="inlineStr">
        <is>
          <t>2025-11-10</t>
        </is>
      </c>
      <c r="B37" s="3" t="inlineStr">
        <is>
          <t>边缘计算节点</t>
        </is>
      </c>
      <c r="C37" s="3" t="inlineStr">
        <is>
          <t>XX环保</t>
        </is>
      </c>
      <c r="D37" s="3" t="n">
        <v>33</v>
      </c>
      <c r="E37" s="5" t="n">
        <v>18800</v>
      </c>
      <c r="F37" s="5">
        <f>D37*E37</f>
        <v/>
      </c>
      <c r="G37" s="3" t="inlineStr">
        <is>
          <t>华中</t>
        </is>
      </c>
    </row>
    <row r="38">
      <c r="A38" s="3" t="inlineStr">
        <is>
          <t>2025-04-05</t>
        </is>
      </c>
      <c r="B38" s="3" t="inlineStr">
        <is>
          <t>云平台-专业版</t>
        </is>
      </c>
      <c r="C38" s="3" t="inlineStr">
        <is>
          <t>XX农业</t>
        </is>
      </c>
      <c r="D38" s="3" t="n">
        <v>11</v>
      </c>
      <c r="E38" s="5" t="n">
        <v>49800</v>
      </c>
      <c r="F38" s="5">
        <f>D38*E38</f>
        <v/>
      </c>
      <c r="G38" s="3" t="inlineStr">
        <is>
          <t>华中</t>
        </is>
      </c>
    </row>
    <row r="39">
      <c r="A39" s="3" t="inlineStr">
        <is>
          <t>2025-09-01</t>
        </is>
      </c>
      <c r="B39" s="3" t="inlineStr">
        <is>
          <t>物联网模组</t>
        </is>
      </c>
      <c r="C39" s="3" t="inlineStr">
        <is>
          <t>XX制造</t>
        </is>
      </c>
      <c r="D39" s="3" t="n">
        <v>32</v>
      </c>
      <c r="E39" s="5" t="n">
        <v>1200</v>
      </c>
      <c r="F39" s="5">
        <f>D39*E39</f>
        <v/>
      </c>
      <c r="G39" s="3" t="inlineStr">
        <is>
          <t>华南</t>
        </is>
      </c>
    </row>
    <row r="40">
      <c r="A40" s="3" t="inlineStr">
        <is>
          <t>2025-02-12</t>
        </is>
      </c>
      <c r="B40" s="3" t="inlineStr">
        <is>
          <t>边缘计算节点</t>
        </is>
      </c>
      <c r="C40" s="3" t="inlineStr">
        <is>
          <t>XX农业</t>
        </is>
      </c>
      <c r="D40" s="3" t="n">
        <v>20</v>
      </c>
      <c r="E40" s="5" t="n">
        <v>18800</v>
      </c>
      <c r="F40" s="5">
        <f>D40*E40</f>
        <v/>
      </c>
      <c r="G40" s="3" t="inlineStr">
        <is>
          <t>华东</t>
        </is>
      </c>
    </row>
    <row r="41">
      <c r="A41" s="3" t="inlineStr">
        <is>
          <t>2025-01-08</t>
        </is>
      </c>
      <c r="B41" s="3" t="inlineStr">
        <is>
          <t>物联网模组</t>
        </is>
      </c>
      <c r="C41" s="3" t="inlineStr">
        <is>
          <t>XX电力</t>
        </is>
      </c>
      <c r="D41" s="3" t="n">
        <v>6</v>
      </c>
      <c r="E41" s="5" t="n">
        <v>1200</v>
      </c>
      <c r="F41" s="5">
        <f>D41*E41</f>
        <v/>
      </c>
      <c r="G41" s="3" t="inlineStr">
        <is>
          <t>西北</t>
        </is>
      </c>
    </row>
    <row r="42">
      <c r="A42" s="3" t="inlineStr">
        <is>
          <t>2025-08-27</t>
        </is>
      </c>
      <c r="B42" s="3" t="inlineStr">
        <is>
          <t>智能网关GW-2000</t>
        </is>
      </c>
      <c r="C42" s="3" t="inlineStr">
        <is>
          <t>XX农业</t>
        </is>
      </c>
      <c r="D42" s="3" t="n">
        <v>35</v>
      </c>
      <c r="E42" s="5" t="n">
        <v>5980</v>
      </c>
      <c r="F42" s="5">
        <f>D42*E42</f>
        <v/>
      </c>
      <c r="G42" s="3" t="inlineStr">
        <is>
          <t>东北</t>
        </is>
      </c>
    </row>
    <row r="43">
      <c r="A43" s="3" t="inlineStr">
        <is>
          <t>2025-03-05</t>
        </is>
      </c>
      <c r="B43" s="3" t="inlineStr">
        <is>
          <t>安全审计系统</t>
        </is>
      </c>
      <c r="C43" s="3" t="inlineStr">
        <is>
          <t>XX物流</t>
        </is>
      </c>
      <c r="D43" s="3" t="n">
        <v>36</v>
      </c>
      <c r="E43" s="5" t="n">
        <v>35000</v>
      </c>
      <c r="F43" s="5">
        <f>D43*E43</f>
        <v/>
      </c>
      <c r="G43" s="3" t="inlineStr">
        <is>
          <t>华东</t>
        </is>
      </c>
    </row>
    <row r="44">
      <c r="A44" s="3" t="inlineStr">
        <is>
          <t>2025-05-17</t>
        </is>
      </c>
      <c r="B44" s="3" t="inlineStr">
        <is>
          <t>边缘计算节点</t>
        </is>
      </c>
      <c r="C44" s="3" t="inlineStr">
        <is>
          <t>XX医疗</t>
        </is>
      </c>
      <c r="D44" s="3" t="n">
        <v>28</v>
      </c>
      <c r="E44" s="5" t="n">
        <v>18800</v>
      </c>
      <c r="F44" s="5">
        <f>D44*E44</f>
        <v/>
      </c>
      <c r="G44" s="3" t="inlineStr">
        <is>
          <t>华东</t>
        </is>
      </c>
    </row>
    <row r="45">
      <c r="A45" s="3" t="inlineStr">
        <is>
          <t>2025-09-25</t>
        </is>
      </c>
      <c r="B45" s="3" t="inlineStr">
        <is>
          <t>安全审计系统</t>
        </is>
      </c>
      <c r="C45" s="3" t="inlineStr">
        <is>
          <t>XX环保</t>
        </is>
      </c>
      <c r="D45" s="3" t="n">
        <v>13</v>
      </c>
      <c r="E45" s="5" t="n">
        <v>35000</v>
      </c>
      <c r="F45" s="5">
        <f>D45*E45</f>
        <v/>
      </c>
      <c r="G45" s="3" t="inlineStr">
        <is>
          <t>西北</t>
        </is>
      </c>
    </row>
    <row r="46">
      <c r="A46" s="3" t="inlineStr">
        <is>
          <t>2025-05-13</t>
        </is>
      </c>
      <c r="B46" s="3" t="inlineStr">
        <is>
          <t>安全审计系统</t>
        </is>
      </c>
      <c r="C46" s="3" t="inlineStr">
        <is>
          <t>XX环保</t>
        </is>
      </c>
      <c r="D46" s="3" t="n">
        <v>24</v>
      </c>
      <c r="E46" s="5" t="n">
        <v>35000</v>
      </c>
      <c r="F46" s="5">
        <f>D46*E46</f>
        <v/>
      </c>
      <c r="G46" s="3" t="inlineStr">
        <is>
          <t>西南</t>
        </is>
      </c>
    </row>
    <row r="47">
      <c r="A47" s="3" t="inlineStr">
        <is>
          <t>2025-09-15</t>
        </is>
      </c>
      <c r="B47" s="3" t="inlineStr">
        <is>
          <t>智能网关GW-2000</t>
        </is>
      </c>
      <c r="C47" s="3" t="inlineStr">
        <is>
          <t>XX水务</t>
        </is>
      </c>
      <c r="D47" s="3" t="n">
        <v>15</v>
      </c>
      <c r="E47" s="5" t="n">
        <v>5980</v>
      </c>
      <c r="F47" s="5">
        <f>D47*E47</f>
        <v/>
      </c>
      <c r="G47" s="3" t="inlineStr">
        <is>
          <t>华南</t>
        </is>
      </c>
    </row>
    <row r="48">
      <c r="A48" s="3" t="inlineStr">
        <is>
          <t>2025-06-01</t>
        </is>
      </c>
      <c r="B48" s="3" t="inlineStr">
        <is>
          <t>物联网模组</t>
        </is>
      </c>
      <c r="C48" s="3" t="inlineStr">
        <is>
          <t>XX医疗</t>
        </is>
      </c>
      <c r="D48" s="3" t="n">
        <v>15</v>
      </c>
      <c r="E48" s="5" t="n">
        <v>1200</v>
      </c>
      <c r="F48" s="5">
        <f>D48*E48</f>
        <v/>
      </c>
      <c r="G48" s="3" t="inlineStr">
        <is>
          <t>华中</t>
        </is>
      </c>
    </row>
    <row r="49">
      <c r="A49" s="3" t="inlineStr">
        <is>
          <t>2025-04-01</t>
        </is>
      </c>
      <c r="B49" s="3" t="inlineStr">
        <is>
          <t>智能网关GW-2000</t>
        </is>
      </c>
      <c r="C49" s="3" t="inlineStr">
        <is>
          <t>XX环保</t>
        </is>
      </c>
      <c r="D49" s="3" t="n">
        <v>41</v>
      </c>
      <c r="E49" s="5" t="n">
        <v>5980</v>
      </c>
      <c r="F49" s="5">
        <f>D49*E49</f>
        <v/>
      </c>
      <c r="G49" s="3" t="inlineStr">
        <is>
          <t>华南</t>
        </is>
      </c>
    </row>
    <row r="50">
      <c r="A50" s="3" t="inlineStr">
        <is>
          <t>2025-04-03</t>
        </is>
      </c>
      <c r="B50" s="3" t="inlineStr">
        <is>
          <t>智能网关GW-2000</t>
        </is>
      </c>
      <c r="C50" s="3" t="inlineStr">
        <is>
          <t>XX农业</t>
        </is>
      </c>
      <c r="D50" s="3" t="n">
        <v>22</v>
      </c>
      <c r="E50" s="5" t="n">
        <v>5980</v>
      </c>
      <c r="F50" s="5">
        <f>D50*E50</f>
        <v/>
      </c>
      <c r="G50" s="3" t="inlineStr">
        <is>
          <t>华南</t>
        </is>
      </c>
    </row>
    <row r="51">
      <c r="A51" s="3" t="inlineStr">
        <is>
          <t>2025-09-08</t>
        </is>
      </c>
      <c r="B51" s="3" t="inlineStr">
        <is>
          <t>云平台-专业版</t>
        </is>
      </c>
      <c r="C51" s="3" t="inlineStr">
        <is>
          <t>XX环保</t>
        </is>
      </c>
      <c r="D51" s="3" t="n">
        <v>32</v>
      </c>
      <c r="E51" s="5" t="n">
        <v>49800</v>
      </c>
      <c r="F51" s="5">
        <f>D51*E51</f>
        <v/>
      </c>
      <c r="G51" s="3" t="inlineStr">
        <is>
          <t>华东</t>
        </is>
      </c>
    </row>
    <row r="52">
      <c r="A52" s="3" t="inlineStr">
        <is>
          <t>2025-09-05</t>
        </is>
      </c>
      <c r="B52" s="3" t="inlineStr">
        <is>
          <t>安全审计系统</t>
        </is>
      </c>
      <c r="C52" s="3" t="inlineStr">
        <is>
          <t>XX医疗</t>
        </is>
      </c>
      <c r="D52" s="3" t="n">
        <v>37</v>
      </c>
      <c r="E52" s="5" t="n">
        <v>35000</v>
      </c>
      <c r="F52" s="5">
        <f>D52*E52</f>
        <v/>
      </c>
      <c r="G52" s="3" t="inlineStr">
        <is>
          <t>西南</t>
        </is>
      </c>
    </row>
    <row r="53">
      <c r="A53" s="3" t="inlineStr">
        <is>
          <t>2025-04-26</t>
        </is>
      </c>
      <c r="B53" s="3" t="inlineStr">
        <is>
          <t>数据分析引擎</t>
        </is>
      </c>
      <c r="C53" s="3" t="inlineStr">
        <is>
          <t>XX农业</t>
        </is>
      </c>
      <c r="D53" s="3" t="n">
        <v>27</v>
      </c>
      <c r="E53" s="5" t="n">
        <v>80000</v>
      </c>
      <c r="F53" s="5">
        <f>D53*E53</f>
        <v/>
      </c>
      <c r="G53" s="3" t="inlineStr">
        <is>
          <t>华东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星辰科技有限公司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基本工资</t>
        </is>
      </c>
      <c r="H3" s="2" t="inlineStr">
        <is>
          <t>绩效系数</t>
        </is>
      </c>
      <c r="I3" s="2" t="inlineStr">
        <is>
          <t>年假天数</t>
        </is>
      </c>
    </row>
    <row r="4">
      <c r="A4" s="3" t="inlineStr">
        <is>
          <t>EMP1000</t>
        </is>
      </c>
      <c r="B4" s="3" t="inlineStr">
        <is>
          <t>张伟</t>
        </is>
      </c>
      <c r="C4" s="3" t="inlineStr">
        <is>
          <t>研发部</t>
        </is>
      </c>
      <c r="D4" s="3" t="inlineStr">
        <is>
          <t>软件工程师</t>
        </is>
      </c>
      <c r="E4" s="3" t="inlineStr">
        <is>
          <t>2023-11-12</t>
        </is>
      </c>
      <c r="F4" s="3" t="inlineStr">
        <is>
          <t>大专</t>
        </is>
      </c>
      <c r="G4" s="5" t="n">
        <v>34941</v>
      </c>
      <c r="H4" s="3" t="n">
        <v>1.13</v>
      </c>
      <c r="I4" s="3" t="n">
        <v>6</v>
      </c>
    </row>
    <row r="5">
      <c r="A5" s="3" t="inlineStr">
        <is>
          <t>EMP1001</t>
        </is>
      </c>
      <c r="B5" s="3" t="inlineStr">
        <is>
          <t>李娜</t>
        </is>
      </c>
      <c r="C5" s="3" t="inlineStr">
        <is>
          <t>人事部</t>
        </is>
      </c>
      <c r="D5" s="3" t="inlineStr">
        <is>
          <t>人事专员</t>
        </is>
      </c>
      <c r="E5" s="3" t="inlineStr">
        <is>
          <t>2023-01-24</t>
        </is>
      </c>
      <c r="F5" s="3" t="inlineStr">
        <is>
          <t>博士</t>
        </is>
      </c>
      <c r="G5" s="5" t="n">
        <v>15161</v>
      </c>
      <c r="H5" s="3" t="n">
        <v>0.97</v>
      </c>
      <c r="I5" s="3" t="n">
        <v>11</v>
      </c>
    </row>
    <row r="6">
      <c r="A6" s="3" t="inlineStr">
        <is>
          <t>EMP1002</t>
        </is>
      </c>
      <c r="B6" s="3" t="inlineStr">
        <is>
          <t>王强</t>
        </is>
      </c>
      <c r="C6" s="3" t="inlineStr">
        <is>
          <t>财务部</t>
        </is>
      </c>
      <c r="D6" s="3" t="inlineStr">
        <is>
          <t>财务经理</t>
        </is>
      </c>
      <c r="E6" s="3" t="inlineStr">
        <is>
          <t>2023-03-06</t>
        </is>
      </c>
      <c r="F6" s="3" t="inlineStr">
        <is>
          <t>博士</t>
        </is>
      </c>
      <c r="G6" s="5" t="n">
        <v>38318</v>
      </c>
      <c r="H6" s="3" t="n">
        <v>0.97</v>
      </c>
      <c r="I6" s="3" t="n">
        <v>7</v>
      </c>
    </row>
    <row r="7">
      <c r="A7" s="3" t="inlineStr">
        <is>
          <t>EMP1003</t>
        </is>
      </c>
      <c r="B7" s="3" t="inlineStr">
        <is>
          <t>赵敏</t>
        </is>
      </c>
      <c r="C7" s="3" t="inlineStr">
        <is>
          <t>运营部</t>
        </is>
      </c>
      <c r="D7" s="3" t="inlineStr">
        <is>
          <t>运营总监</t>
        </is>
      </c>
      <c r="E7" s="3" t="inlineStr">
        <is>
          <t>2020-02-21</t>
        </is>
      </c>
      <c r="F7" s="3" t="inlineStr">
        <is>
          <t>本科</t>
        </is>
      </c>
      <c r="G7" s="5" t="n">
        <v>14112</v>
      </c>
      <c r="H7" s="3" t="n">
        <v>1.45</v>
      </c>
      <c r="I7" s="3" t="n">
        <v>12</v>
      </c>
    </row>
    <row r="8">
      <c r="A8" s="3" t="inlineStr">
        <is>
          <t>EMP1004</t>
        </is>
      </c>
      <c r="B8" s="3" t="inlineStr">
        <is>
          <t>刘洋</t>
        </is>
      </c>
      <c r="C8" s="3" t="inlineStr">
        <is>
          <t>市场部</t>
        </is>
      </c>
      <c r="D8" s="3" t="inlineStr">
        <is>
          <t>品牌经理</t>
        </is>
      </c>
      <c r="E8" s="3" t="inlineStr">
        <is>
          <t>2023-08-07</t>
        </is>
      </c>
      <c r="F8" s="3" t="inlineStr">
        <is>
          <t>大专</t>
        </is>
      </c>
      <c r="G8" s="5" t="n">
        <v>11842</v>
      </c>
      <c r="H8" s="3" t="n">
        <v>0.92</v>
      </c>
      <c r="I8" s="3" t="n">
        <v>5</v>
      </c>
    </row>
    <row r="9">
      <c r="A9" s="3" t="inlineStr">
        <is>
          <t>EMP1005</t>
        </is>
      </c>
      <c r="B9" s="3" t="inlineStr">
        <is>
          <t>陈静</t>
        </is>
      </c>
      <c r="C9" s="3" t="inlineStr">
        <is>
          <t>运营部</t>
        </is>
      </c>
      <c r="D9" s="3" t="inlineStr">
        <is>
          <t>运营经理</t>
        </is>
      </c>
      <c r="E9" s="3" t="inlineStr">
        <is>
          <t>2022-08-14</t>
        </is>
      </c>
      <c r="F9" s="3" t="inlineStr">
        <is>
          <t>大专</t>
        </is>
      </c>
      <c r="G9" s="5" t="n">
        <v>18144</v>
      </c>
      <c r="H9" s="3" t="n">
        <v>0.93</v>
      </c>
      <c r="I9" s="3" t="n">
        <v>11</v>
      </c>
    </row>
    <row r="10">
      <c r="A10" s="3" t="inlineStr">
        <is>
          <t>EMP1006</t>
        </is>
      </c>
      <c r="B10" s="3" t="inlineStr">
        <is>
          <t>杨帆</t>
        </is>
      </c>
      <c r="C10" s="3" t="inlineStr">
        <is>
          <t>研发部</t>
        </is>
      </c>
      <c r="D10" s="3" t="inlineStr">
        <is>
          <t>测试工程师</t>
        </is>
      </c>
      <c r="E10" s="3" t="inlineStr">
        <is>
          <t>2024-12-02</t>
        </is>
      </c>
      <c r="F10" s="3" t="inlineStr">
        <is>
          <t>博士</t>
        </is>
      </c>
      <c r="G10" s="5" t="n">
        <v>11746</v>
      </c>
      <c r="H10" s="3" t="n">
        <v>0.84</v>
      </c>
      <c r="I10" s="3" t="n">
        <v>20</v>
      </c>
    </row>
    <row r="11">
      <c r="A11" s="3" t="inlineStr">
        <is>
          <t>EMP1007</t>
        </is>
      </c>
      <c r="B11" s="3" t="inlineStr">
        <is>
          <t>黄丽</t>
        </is>
      </c>
      <c r="C11" s="3" t="inlineStr">
        <is>
          <t>财务部</t>
        </is>
      </c>
      <c r="D11" s="3" t="inlineStr">
        <is>
          <t>财务总监</t>
        </is>
      </c>
      <c r="E11" s="3" t="inlineStr">
        <is>
          <t>2020-03-17</t>
        </is>
      </c>
      <c r="F11" s="3" t="inlineStr">
        <is>
          <t>本科</t>
        </is>
      </c>
      <c r="G11" s="5" t="n">
        <v>20178</v>
      </c>
      <c r="H11" s="3" t="n">
        <v>0.85</v>
      </c>
      <c r="I11" s="3" t="n">
        <v>7</v>
      </c>
    </row>
    <row r="12">
      <c r="A12" s="3" t="inlineStr">
        <is>
          <t>EMP1008</t>
        </is>
      </c>
      <c r="B12" s="3" t="inlineStr">
        <is>
          <t>周杰</t>
        </is>
      </c>
      <c r="C12" s="3" t="inlineStr">
        <is>
          <t>人事部</t>
        </is>
      </c>
      <c r="D12" s="3" t="inlineStr">
        <is>
          <t>人事专员</t>
        </is>
      </c>
      <c r="E12" s="3" t="inlineStr">
        <is>
          <t>2020-07-19</t>
        </is>
      </c>
      <c r="F12" s="3" t="inlineStr">
        <is>
          <t>硕士</t>
        </is>
      </c>
      <c r="G12" s="5" t="n">
        <v>45940</v>
      </c>
      <c r="H12" s="3" t="n">
        <v>1.22</v>
      </c>
      <c r="I12" s="3" t="n">
        <v>7</v>
      </c>
    </row>
    <row r="13">
      <c r="A13" s="3" t="inlineStr">
        <is>
          <t>EMP1009</t>
        </is>
      </c>
      <c r="B13" s="3" t="inlineStr">
        <is>
          <t>吴芳</t>
        </is>
      </c>
      <c r="C13" s="3" t="inlineStr">
        <is>
          <t>运营部</t>
        </is>
      </c>
      <c r="D13" s="3" t="inlineStr">
        <is>
          <t>运营总监</t>
        </is>
      </c>
      <c r="E13" s="3" t="inlineStr">
        <is>
          <t>2024-10-17</t>
        </is>
      </c>
      <c r="F13" s="3" t="inlineStr">
        <is>
          <t>博士</t>
        </is>
      </c>
      <c r="G13" s="5" t="n">
        <v>25089</v>
      </c>
      <c r="H13" s="3" t="n">
        <v>0.9399999999999999</v>
      </c>
      <c r="I13" s="3" t="n">
        <v>15</v>
      </c>
    </row>
    <row r="14">
      <c r="A14" s="3" t="inlineStr">
        <is>
          <t>EMP1010</t>
        </is>
      </c>
      <c r="B14" s="3" t="inlineStr">
        <is>
          <t>郑宇</t>
        </is>
      </c>
      <c r="C14" s="3" t="inlineStr">
        <is>
          <t>市场部</t>
        </is>
      </c>
      <c r="D14" s="3" t="inlineStr">
        <is>
          <t>品牌经理</t>
        </is>
      </c>
      <c r="E14" s="3" t="inlineStr">
        <is>
          <t>2021-07-22</t>
        </is>
      </c>
      <c r="F14" s="3" t="inlineStr">
        <is>
          <t>博士</t>
        </is>
      </c>
      <c r="G14" s="5" t="n">
        <v>37964</v>
      </c>
      <c r="H14" s="3" t="n">
        <v>1.02</v>
      </c>
      <c r="I14" s="3" t="n">
        <v>7</v>
      </c>
    </row>
    <row r="15">
      <c r="A15" s="3" t="inlineStr">
        <is>
          <t>EMP1011</t>
        </is>
      </c>
      <c r="B15" s="3" t="inlineStr">
        <is>
          <t>钱蕾</t>
        </is>
      </c>
      <c r="C15" s="3" t="inlineStr">
        <is>
          <t>研发部</t>
        </is>
      </c>
      <c r="D15" s="3" t="inlineStr">
        <is>
          <t>架构师</t>
        </is>
      </c>
      <c r="E15" s="3" t="inlineStr">
        <is>
          <t>2024-10-04</t>
        </is>
      </c>
      <c r="F15" s="3" t="inlineStr">
        <is>
          <t>本科</t>
        </is>
      </c>
      <c r="G15" s="5" t="n">
        <v>43234</v>
      </c>
      <c r="H15" s="3" t="n">
        <v>0.95</v>
      </c>
      <c r="I15" s="3" t="n">
        <v>13</v>
      </c>
    </row>
    <row r="16">
      <c r="A16" s="3" t="inlineStr">
        <is>
          <t>EMP1012</t>
        </is>
      </c>
      <c r="B16" s="3" t="inlineStr">
        <is>
          <t>孙涛</t>
        </is>
      </c>
      <c r="C16" s="3" t="inlineStr">
        <is>
          <t>市场部</t>
        </is>
      </c>
      <c r="D16" s="3" t="inlineStr">
        <is>
          <t>品牌经理</t>
        </is>
      </c>
      <c r="E16" s="3" t="inlineStr">
        <is>
          <t>2021-02-12</t>
        </is>
      </c>
      <c r="F16" s="3" t="inlineStr">
        <is>
          <t>博士</t>
        </is>
      </c>
      <c r="G16" s="5" t="n">
        <v>18338</v>
      </c>
      <c r="H16" s="3" t="n">
        <v>1.11</v>
      </c>
      <c r="I16" s="3" t="n">
        <v>14</v>
      </c>
    </row>
    <row r="17">
      <c r="A17" s="3" t="inlineStr">
        <is>
          <t>EMP1013</t>
        </is>
      </c>
      <c r="B17" s="3" t="inlineStr">
        <is>
          <t>马琳</t>
        </is>
      </c>
      <c r="C17" s="3" t="inlineStr">
        <is>
          <t>财务部</t>
        </is>
      </c>
      <c r="D17" s="3" t="inlineStr">
        <is>
          <t>财务总监</t>
        </is>
      </c>
      <c r="E17" s="3" t="inlineStr">
        <is>
          <t>2020-09-22</t>
        </is>
      </c>
      <c r="F17" s="3" t="inlineStr">
        <is>
          <t>博士</t>
        </is>
      </c>
      <c r="G17" s="5" t="n">
        <v>14788</v>
      </c>
      <c r="H17" s="3" t="n">
        <v>1.46</v>
      </c>
      <c r="I17" s="3" t="n">
        <v>9</v>
      </c>
    </row>
    <row r="18">
      <c r="A18" s="3" t="inlineStr">
        <is>
          <t>EMP1014</t>
        </is>
      </c>
      <c r="B18" s="3" t="inlineStr">
        <is>
          <t>朱峰</t>
        </is>
      </c>
      <c r="C18" s="3" t="inlineStr">
        <is>
          <t>销售部</t>
        </is>
      </c>
      <c r="D18" s="3" t="inlineStr">
        <is>
          <t>销售代表</t>
        </is>
      </c>
      <c r="E18" s="3" t="inlineStr">
        <is>
          <t>2025-02-18</t>
        </is>
      </c>
      <c r="F18" s="3" t="inlineStr">
        <is>
          <t>硕士</t>
        </is>
      </c>
      <c r="G18" s="5" t="n">
        <v>25848</v>
      </c>
      <c r="H18" s="3" t="n">
        <v>1</v>
      </c>
      <c r="I18" s="3" t="n">
        <v>11</v>
      </c>
    </row>
    <row r="19">
      <c r="A19" s="3" t="inlineStr">
        <is>
          <t>EMP1015</t>
        </is>
      </c>
      <c r="B19" s="3" t="inlineStr">
        <is>
          <t>胡雪</t>
        </is>
      </c>
      <c r="C19" s="3" t="inlineStr">
        <is>
          <t>人事部</t>
        </is>
      </c>
      <c r="D19" s="3" t="inlineStr">
        <is>
          <t>人事经理</t>
        </is>
      </c>
      <c r="E19" s="3" t="inlineStr">
        <is>
          <t>2025-04-21</t>
        </is>
      </c>
      <c r="F19" s="3" t="inlineStr">
        <is>
          <t>博士</t>
        </is>
      </c>
      <c r="G19" s="5" t="n">
        <v>41122</v>
      </c>
      <c r="H19" s="3" t="n">
        <v>1.14</v>
      </c>
      <c r="I19" s="3" t="n">
        <v>6</v>
      </c>
    </row>
    <row r="20">
      <c r="A20" s="3" t="inlineStr">
        <is>
          <t>EMP1016</t>
        </is>
      </c>
      <c r="B20" s="3" t="inlineStr">
        <is>
          <t>林海</t>
        </is>
      </c>
      <c r="C20" s="3" t="inlineStr">
        <is>
          <t>研发部</t>
        </is>
      </c>
      <c r="D20" s="3" t="inlineStr">
        <is>
          <t>架构师</t>
        </is>
      </c>
      <c r="E20" s="3" t="inlineStr">
        <is>
          <t>2020-05-01</t>
        </is>
      </c>
      <c r="F20" s="3" t="inlineStr">
        <is>
          <t>博士</t>
        </is>
      </c>
      <c r="G20" s="5" t="n">
        <v>16573</v>
      </c>
      <c r="H20" s="3" t="n">
        <v>1.25</v>
      </c>
      <c r="I20" s="3" t="n">
        <v>13</v>
      </c>
    </row>
    <row r="21">
      <c r="A21" s="3" t="inlineStr">
        <is>
          <t>EMP1017</t>
        </is>
      </c>
      <c r="B21" s="3" t="inlineStr">
        <is>
          <t>何雨</t>
        </is>
      </c>
      <c r="C21" s="3" t="inlineStr">
        <is>
          <t>市场部</t>
        </is>
      </c>
      <c r="D21" s="3" t="inlineStr">
        <is>
          <t>市场总监</t>
        </is>
      </c>
      <c r="E21" s="3" t="inlineStr">
        <is>
          <t>2024-08-23</t>
        </is>
      </c>
      <c r="F21" s="3" t="inlineStr">
        <is>
          <t>大专</t>
        </is>
      </c>
      <c r="G21" s="5" t="n">
        <v>44759</v>
      </c>
      <c r="H21" s="3" t="n">
        <v>0.8100000000000001</v>
      </c>
      <c r="I21" s="3" t="n">
        <v>7</v>
      </c>
    </row>
    <row r="22">
      <c r="A22" s="3" t="inlineStr">
        <is>
          <t>EMP1018</t>
        </is>
      </c>
      <c r="B22" s="3" t="inlineStr">
        <is>
          <t>郭明</t>
        </is>
      </c>
      <c r="C22" s="3" t="inlineStr">
        <is>
          <t>人事部</t>
        </is>
      </c>
      <c r="D22" s="3" t="inlineStr">
        <is>
          <t>人事专员</t>
        </is>
      </c>
      <c r="E22" s="3" t="inlineStr">
        <is>
          <t>2020-09-27</t>
        </is>
      </c>
      <c r="F22" s="3" t="inlineStr">
        <is>
          <t>博士</t>
        </is>
      </c>
      <c r="G22" s="5" t="n">
        <v>46175</v>
      </c>
      <c r="H22" s="3" t="n">
        <v>1.19</v>
      </c>
      <c r="I22" s="3" t="n">
        <v>18</v>
      </c>
    </row>
    <row r="23">
      <c r="A23" s="3" t="inlineStr">
        <is>
          <t>EMP1019</t>
        </is>
      </c>
      <c r="B23" s="3" t="inlineStr">
        <is>
          <t>高洁</t>
        </is>
      </c>
      <c r="C23" s="3" t="inlineStr">
        <is>
          <t>市场部</t>
        </is>
      </c>
      <c r="D23" s="3" t="inlineStr">
        <is>
          <t>市场专员</t>
        </is>
      </c>
      <c r="E23" s="3" t="inlineStr">
        <is>
          <t>2022-05-26</t>
        </is>
      </c>
      <c r="F23" s="3" t="inlineStr">
        <is>
          <t>本科</t>
        </is>
      </c>
      <c r="G23" s="5" t="n">
        <v>31449</v>
      </c>
      <c r="H23" s="3" t="n">
        <v>0.95</v>
      </c>
      <c r="I23" s="3" t="n">
        <v>12</v>
      </c>
    </row>
    <row r="24">
      <c r="A24" s="3" t="inlineStr">
        <is>
          <t>EMP1020</t>
        </is>
      </c>
      <c r="B24" s="3" t="inlineStr">
        <is>
          <t>罗浩</t>
        </is>
      </c>
      <c r="C24" s="3" t="inlineStr">
        <is>
          <t>人事部</t>
        </is>
      </c>
      <c r="D24" s="3" t="inlineStr">
        <is>
          <t>人事专员</t>
        </is>
      </c>
      <c r="E24" s="3" t="inlineStr">
        <is>
          <t>2024-06-28</t>
        </is>
      </c>
      <c r="F24" s="3" t="inlineStr">
        <is>
          <t>大专</t>
        </is>
      </c>
      <c r="G24" s="5" t="n">
        <v>48675</v>
      </c>
      <c r="H24" s="3" t="n">
        <v>1.32</v>
      </c>
      <c r="I24" s="3" t="n">
        <v>12</v>
      </c>
    </row>
    <row r="25">
      <c r="A25" s="3" t="inlineStr">
        <is>
          <t>EMP1021</t>
        </is>
      </c>
      <c r="B25" s="3" t="inlineStr">
        <is>
          <t>梁燕</t>
        </is>
      </c>
      <c r="C25" s="3" t="inlineStr">
        <is>
          <t>行政部</t>
        </is>
      </c>
      <c r="D25" s="3" t="inlineStr">
        <is>
          <t>行政专员</t>
        </is>
      </c>
      <c r="E25" s="3" t="inlineStr">
        <is>
          <t>2023-03-01</t>
        </is>
      </c>
      <c r="F25" s="3" t="inlineStr">
        <is>
          <t>硕士</t>
        </is>
      </c>
      <c r="G25" s="5" t="n">
        <v>29770</v>
      </c>
      <c r="H25" s="3" t="n">
        <v>1.35</v>
      </c>
      <c r="I25" s="3" t="n">
        <v>18</v>
      </c>
    </row>
    <row r="26">
      <c r="A26" s="3" t="inlineStr">
        <is>
          <t>EMP1022</t>
        </is>
      </c>
      <c r="B26" s="3" t="inlineStr">
        <is>
          <t>宋军</t>
        </is>
      </c>
      <c r="C26" s="3" t="inlineStr">
        <is>
          <t>行政部</t>
        </is>
      </c>
      <c r="D26" s="3" t="inlineStr">
        <is>
          <t>行政经理</t>
        </is>
      </c>
      <c r="E26" s="3" t="inlineStr">
        <is>
          <t>2021-12-09</t>
        </is>
      </c>
      <c r="F26" s="3" t="inlineStr">
        <is>
          <t>硕士</t>
        </is>
      </c>
      <c r="G26" s="5" t="n">
        <v>15084</v>
      </c>
      <c r="H26" s="3" t="n">
        <v>1.07</v>
      </c>
      <c r="I26" s="3" t="n">
        <v>6</v>
      </c>
    </row>
    <row r="27">
      <c r="A27" s="3" t="inlineStr">
        <is>
          <t>EMP1023</t>
        </is>
      </c>
      <c r="B27" s="3" t="inlineStr">
        <is>
          <t>唐婷</t>
        </is>
      </c>
      <c r="C27" s="3" t="inlineStr">
        <is>
          <t>行政部</t>
        </is>
      </c>
      <c r="D27" s="3" t="inlineStr">
        <is>
          <t>行政主管</t>
        </is>
      </c>
      <c r="E27" s="3" t="inlineStr">
        <is>
          <t>2021-04-27</t>
        </is>
      </c>
      <c r="F27" s="3" t="inlineStr">
        <is>
          <t>大专</t>
        </is>
      </c>
      <c r="G27" s="5" t="n">
        <v>30915</v>
      </c>
      <c r="H27" s="3" t="n">
        <v>1.01</v>
      </c>
      <c r="I27" s="3" t="n">
        <v>12</v>
      </c>
    </row>
    <row r="28">
      <c r="A28" s="3" t="inlineStr">
        <is>
          <t>EMP1024</t>
        </is>
      </c>
      <c r="B28" s="3" t="inlineStr">
        <is>
          <t>韩冰</t>
        </is>
      </c>
      <c r="C28" s="3" t="inlineStr">
        <is>
          <t>市场部</t>
        </is>
      </c>
      <c r="D28" s="3" t="inlineStr">
        <is>
          <t>市场专员</t>
        </is>
      </c>
      <c r="E28" s="3" t="inlineStr">
        <is>
          <t>2021-11-13</t>
        </is>
      </c>
      <c r="F28" s="3" t="inlineStr">
        <is>
          <t>博士</t>
        </is>
      </c>
      <c r="G28" s="5" t="n">
        <v>26258</v>
      </c>
      <c r="H28" s="3" t="n">
        <v>1.41</v>
      </c>
      <c r="I28" s="3" t="n">
        <v>13</v>
      </c>
    </row>
    <row r="29">
      <c r="A29" s="3" t="inlineStr">
        <is>
          <t>EMP1025</t>
        </is>
      </c>
      <c r="B29" s="3" t="inlineStr">
        <is>
          <t>曹阳</t>
        </is>
      </c>
      <c r="C29" s="3" t="inlineStr">
        <is>
          <t>销售部</t>
        </is>
      </c>
      <c r="D29" s="3" t="inlineStr">
        <is>
          <t>销售总监</t>
        </is>
      </c>
      <c r="E29" s="3" t="inlineStr">
        <is>
          <t>2023-09-22</t>
        </is>
      </c>
      <c r="F29" s="3" t="inlineStr">
        <is>
          <t>博士</t>
        </is>
      </c>
      <c r="G29" s="5" t="n">
        <v>9808</v>
      </c>
      <c r="H29" s="3" t="n">
        <v>0.88</v>
      </c>
      <c r="I29" s="3" t="n">
        <v>13</v>
      </c>
    </row>
    <row r="30">
      <c r="A30" s="3" t="inlineStr">
        <is>
          <t>EMP1026</t>
        </is>
      </c>
      <c r="B30" s="3" t="inlineStr">
        <is>
          <t>许晴</t>
        </is>
      </c>
      <c r="C30" s="3" t="inlineStr">
        <is>
          <t>市场部</t>
        </is>
      </c>
      <c r="D30" s="3" t="inlineStr">
        <is>
          <t>市场总监</t>
        </is>
      </c>
      <c r="E30" s="3" t="inlineStr">
        <is>
          <t>2020-05-04</t>
        </is>
      </c>
      <c r="F30" s="3" t="inlineStr">
        <is>
          <t>大专</t>
        </is>
      </c>
      <c r="G30" s="5" t="n">
        <v>30654</v>
      </c>
      <c r="H30" s="3" t="n">
        <v>1.31</v>
      </c>
      <c r="I30" s="3" t="n">
        <v>15</v>
      </c>
    </row>
    <row r="31">
      <c r="A31" s="3" t="inlineStr">
        <is>
          <t>EMP1027</t>
        </is>
      </c>
      <c r="B31" s="3" t="inlineStr">
        <is>
          <t>邓超</t>
        </is>
      </c>
      <c r="C31" s="3" t="inlineStr">
        <is>
          <t>运营部</t>
        </is>
      </c>
      <c r="D31" s="3" t="inlineStr">
        <is>
          <t>运营总监</t>
        </is>
      </c>
      <c r="E31" s="3" t="inlineStr">
        <is>
          <t>2020-09-13</t>
        </is>
      </c>
      <c r="F31" s="3" t="inlineStr">
        <is>
          <t>硕士</t>
        </is>
      </c>
      <c r="G31" s="5" t="n">
        <v>24693</v>
      </c>
      <c r="H31" s="3" t="n">
        <v>0.83</v>
      </c>
      <c r="I31" s="3" t="n">
        <v>18</v>
      </c>
    </row>
    <row r="32">
      <c r="A32" s="3" t="inlineStr">
        <is>
          <t>EMP1028</t>
        </is>
      </c>
      <c r="B32" s="3" t="inlineStr">
        <is>
          <t>彭飞</t>
        </is>
      </c>
      <c r="C32" s="3" t="inlineStr">
        <is>
          <t>研发部</t>
        </is>
      </c>
      <c r="D32" s="3" t="inlineStr">
        <is>
          <t>测试工程师</t>
        </is>
      </c>
      <c r="E32" s="3" t="inlineStr">
        <is>
          <t>2025-09-24</t>
        </is>
      </c>
      <c r="F32" s="3" t="inlineStr">
        <is>
          <t>硕士</t>
        </is>
      </c>
      <c r="G32" s="5" t="n">
        <v>31869</v>
      </c>
      <c r="H32" s="3" t="n">
        <v>1.1</v>
      </c>
      <c r="I32" s="3" t="n">
        <v>15</v>
      </c>
    </row>
    <row r="33">
      <c r="A33" s="3" t="inlineStr">
        <is>
          <t>EMP1029</t>
        </is>
      </c>
      <c r="B33" s="3" t="inlineStr">
        <is>
          <t>曾华</t>
        </is>
      </c>
      <c r="C33" s="3" t="inlineStr">
        <is>
          <t>财务部</t>
        </is>
      </c>
      <c r="D33" s="3" t="inlineStr">
        <is>
          <t>财务经理</t>
        </is>
      </c>
      <c r="E33" s="3" t="inlineStr">
        <is>
          <t>2020-11-24</t>
        </is>
      </c>
      <c r="F33" s="3" t="inlineStr">
        <is>
          <t>博士</t>
        </is>
      </c>
      <c r="G33" s="5" t="n">
        <v>41234</v>
      </c>
      <c r="H33" s="3" t="n">
        <v>1.02</v>
      </c>
      <c r="I33" s="3" t="n">
        <v>18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2026-05-07T15:23:39Z</dcterms:created>
  <dcterms:modified xmlns:dcterms="http://purl.org/dc/terms/" xmlns:xsi="http://www.w3.org/2001/XMLSchema-instance" xsi:type="dcterms:W3CDTF">2026-05-07T15:23:39Z</dcterms:modified>
</cp:coreProperties>
</file>