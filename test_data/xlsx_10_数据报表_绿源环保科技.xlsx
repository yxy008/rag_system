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总表" sheetId="1" state="visible" r:id="rId1"/>
    <sheet xmlns:r="http://schemas.openxmlformats.org/officeDocument/2006/relationships" name="销售明细" sheetId="2" state="visible" r:id="rId2"/>
    <sheet xmlns:r="http://schemas.openxmlformats.org/officeDocument/2006/relationships" name="员工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1A73E8"/>
      <sz val="14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3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绿源环保科技 月度营收与利润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'财务总表'!B3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'财务总表'!$B$4:$B$15</f>
            </numRef>
          </val>
        </ser>
        <ser>
          <idx val="1"/>
          <order val="1"/>
          <tx>
            <strRef>
              <f>'财务总表'!C3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'财务总表'!$C$4:$C$15</f>
            </numRef>
          </val>
        </ser>
        <ser>
          <idx val="2"/>
          <order val="2"/>
          <tx>
            <strRef>
              <f>'财务总表'!D3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'财务总表'!$D$4:$D$15</f>
            </numRef>
          </val>
        </ser>
        <ser>
          <idx val="3"/>
          <order val="3"/>
          <tx>
            <strRef>
              <f>'财务总表'!E3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'财务总表'!$E$4:$E$15</f>
            </numRef>
          </val>
        </ser>
        <ser>
          <idx val="4"/>
          <order val="4"/>
          <tx>
            <strRef>
              <f>'财务总表'!F3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'财务总表'!$F$4:$F$15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</cols>
  <sheetData>
    <row r="1">
      <c r="A1" s="1" t="inlineStr">
        <is>
          <t>绿源环保科技 2023年度财务总表</t>
        </is>
      </c>
    </row>
    <row r="3">
      <c r="A3" s="2" t="inlineStr">
        <is>
          <t>月份</t>
        </is>
      </c>
      <c r="B3" s="2" t="inlineStr">
        <is>
          <t>营收（万元）</t>
        </is>
      </c>
      <c r="C3" s="2" t="inlineStr">
        <is>
          <t>成本（万元）</t>
        </is>
      </c>
      <c r="D3" s="2" t="inlineStr">
        <is>
          <t>毛利润（万元）</t>
        </is>
      </c>
      <c r="E3" s="2" t="inlineStr">
        <is>
          <t>费用（万元）</t>
        </is>
      </c>
      <c r="F3" s="2" t="inlineStr">
        <is>
          <t>净利润（万元）</t>
        </is>
      </c>
      <c r="G3" s="2" t="inlineStr">
        <is>
          <t>净利率</t>
        </is>
      </c>
    </row>
    <row r="4">
      <c r="A4" s="3" t="inlineStr">
        <is>
          <t>1月</t>
        </is>
      </c>
      <c r="B4" s="3" t="n">
        <v>215</v>
      </c>
      <c r="C4" s="3" t="n">
        <v>100</v>
      </c>
      <c r="D4" s="3">
        <f>B4-C4</f>
        <v/>
      </c>
      <c r="E4" s="3" t="n">
        <v>69</v>
      </c>
      <c r="F4" s="3">
        <f>D4-E4</f>
        <v/>
      </c>
      <c r="G4" s="4">
        <f>IF(B4=0,"",F4/B4)</f>
        <v/>
      </c>
    </row>
    <row r="5">
      <c r="A5" s="3" t="inlineStr">
        <is>
          <t>2月</t>
        </is>
      </c>
      <c r="B5" s="3" t="n">
        <v>168</v>
      </c>
      <c r="C5" s="3" t="n">
        <v>115</v>
      </c>
      <c r="D5" s="3">
        <f>B5-C5</f>
        <v/>
      </c>
      <c r="E5" s="3" t="n">
        <v>69</v>
      </c>
      <c r="F5" s="3">
        <f>D5-E5</f>
        <v/>
      </c>
      <c r="G5" s="4">
        <f>IF(B5=0,"",F5/B5)</f>
        <v/>
      </c>
    </row>
    <row r="6">
      <c r="A6" s="3" t="inlineStr">
        <is>
          <t>3月</t>
        </is>
      </c>
      <c r="B6" s="3" t="n">
        <v>165</v>
      </c>
      <c r="C6" s="3" t="n">
        <v>128</v>
      </c>
      <c r="D6" s="3">
        <f>B6-C6</f>
        <v/>
      </c>
      <c r="E6" s="3" t="n">
        <v>44</v>
      </c>
      <c r="F6" s="3">
        <f>D6-E6</f>
        <v/>
      </c>
      <c r="G6" s="4">
        <f>IF(B6=0,"",F6/B6)</f>
        <v/>
      </c>
    </row>
    <row r="7">
      <c r="A7" s="3" t="inlineStr">
        <is>
          <t>4月</t>
        </is>
      </c>
      <c r="B7" s="3" t="n">
        <v>235</v>
      </c>
      <c r="C7" s="3" t="n">
        <v>87</v>
      </c>
      <c r="D7" s="3">
        <f>B7-C7</f>
        <v/>
      </c>
      <c r="E7" s="3" t="n">
        <v>36</v>
      </c>
      <c r="F7" s="3">
        <f>D7-E7</f>
        <v/>
      </c>
      <c r="G7" s="4">
        <f>IF(B7=0,"",F7/B7)</f>
        <v/>
      </c>
    </row>
    <row r="8">
      <c r="A8" s="3" t="inlineStr">
        <is>
          <t>5月</t>
        </is>
      </c>
      <c r="B8" s="3" t="n">
        <v>217</v>
      </c>
      <c r="C8" s="3" t="n">
        <v>102</v>
      </c>
      <c r="D8" s="3">
        <f>B8-C8</f>
        <v/>
      </c>
      <c r="E8" s="3" t="n">
        <v>48</v>
      </c>
      <c r="F8" s="3">
        <f>D8-E8</f>
        <v/>
      </c>
      <c r="G8" s="4">
        <f>IF(B8=0,"",F8/B8)</f>
        <v/>
      </c>
    </row>
    <row r="9">
      <c r="A9" s="3" t="inlineStr">
        <is>
          <t>6月</t>
        </is>
      </c>
      <c r="B9" s="3" t="n">
        <v>167</v>
      </c>
      <c r="C9" s="3" t="n">
        <v>142</v>
      </c>
      <c r="D9" s="3">
        <f>B9-C9</f>
        <v/>
      </c>
      <c r="E9" s="3" t="n">
        <v>79</v>
      </c>
      <c r="F9" s="3">
        <f>D9-E9</f>
        <v/>
      </c>
      <c r="G9" s="4">
        <f>IF(B9=0,"",F9/B9)</f>
        <v/>
      </c>
    </row>
    <row r="10">
      <c r="A10" s="3" t="inlineStr">
        <is>
          <t>7月</t>
        </is>
      </c>
      <c r="B10" s="3" t="n">
        <v>201</v>
      </c>
      <c r="C10" s="3" t="n">
        <v>158</v>
      </c>
      <c r="D10" s="3">
        <f>B10-C10</f>
        <v/>
      </c>
      <c r="E10" s="3" t="n">
        <v>45</v>
      </c>
      <c r="F10" s="3">
        <f>D10-E10</f>
        <v/>
      </c>
      <c r="G10" s="4">
        <f>IF(B10=0,"",F10/B10)</f>
        <v/>
      </c>
    </row>
    <row r="11">
      <c r="A11" s="3" t="inlineStr">
        <is>
          <t>8月</t>
        </is>
      </c>
      <c r="B11" s="3" t="n">
        <v>195</v>
      </c>
      <c r="C11" s="3" t="n">
        <v>162</v>
      </c>
      <c r="D11" s="3">
        <f>B11-C11</f>
        <v/>
      </c>
      <c r="E11" s="3" t="n">
        <v>51</v>
      </c>
      <c r="F11" s="3">
        <f>D11-E11</f>
        <v/>
      </c>
      <c r="G11" s="4">
        <f>IF(B11=0,"",F11/B11)</f>
        <v/>
      </c>
    </row>
    <row r="12">
      <c r="A12" s="3" t="inlineStr">
        <is>
          <t>9月</t>
        </is>
      </c>
      <c r="B12" s="3" t="n">
        <v>177</v>
      </c>
      <c r="C12" s="3" t="n">
        <v>98</v>
      </c>
      <c r="D12" s="3">
        <f>B12-C12</f>
        <v/>
      </c>
      <c r="E12" s="3" t="n">
        <v>54</v>
      </c>
      <c r="F12" s="3">
        <f>D12-E12</f>
        <v/>
      </c>
      <c r="G12" s="4">
        <f>IF(B12=0,"",F12/B12)</f>
        <v/>
      </c>
    </row>
    <row r="13">
      <c r="A13" s="3" t="inlineStr">
        <is>
          <t>10月</t>
        </is>
      </c>
      <c r="B13" s="3" t="n">
        <v>346</v>
      </c>
      <c r="C13" s="3" t="n">
        <v>135</v>
      </c>
      <c r="D13" s="3">
        <f>B13-C13</f>
        <v/>
      </c>
      <c r="E13" s="3" t="n">
        <v>33</v>
      </c>
      <c r="F13" s="3">
        <f>D13-E13</f>
        <v/>
      </c>
      <c r="G13" s="4">
        <f>IF(B13=0,"",F13/B13)</f>
        <v/>
      </c>
    </row>
    <row r="14">
      <c r="A14" s="3" t="inlineStr">
        <is>
          <t>11月</t>
        </is>
      </c>
      <c r="B14" s="3" t="n">
        <v>307</v>
      </c>
      <c r="C14" s="3" t="n">
        <v>162</v>
      </c>
      <c r="D14" s="3">
        <f>B14-C14</f>
        <v/>
      </c>
      <c r="E14" s="3" t="n">
        <v>26</v>
      </c>
      <c r="F14" s="3">
        <f>D14-E14</f>
        <v/>
      </c>
      <c r="G14" s="4">
        <f>IF(B14=0,"",F14/B14)</f>
        <v/>
      </c>
    </row>
    <row r="15">
      <c r="A15" s="3" t="inlineStr">
        <is>
          <t>12月</t>
        </is>
      </c>
      <c r="B15" s="3" t="n">
        <v>263</v>
      </c>
      <c r="C15" s="3" t="n">
        <v>171</v>
      </c>
      <c r="D15" s="3">
        <f>B15-C15</f>
        <v/>
      </c>
      <c r="E15" s="3" t="n">
        <v>36</v>
      </c>
      <c r="F15" s="3">
        <f>D15-E15</f>
        <v/>
      </c>
      <c r="G15" s="4">
        <f>IF(B15=0,"",F15/B15)</f>
        <v/>
      </c>
    </row>
    <row r="16">
      <c r="A16" s="5" t="inlineStr">
        <is>
          <t>合计</t>
        </is>
      </c>
      <c r="B16" s="5">
        <f>SUM(B4:B15)</f>
        <v/>
      </c>
      <c r="C16" s="5">
        <f>SUM(C4:C15)</f>
        <v/>
      </c>
      <c r="D16" s="5">
        <f>SUM(D4:D15)</f>
        <v/>
      </c>
      <c r="E16" s="5">
        <f>SUM(E4:E15)</f>
        <v/>
      </c>
      <c r="F16" s="5">
        <f>SUM(F4:F15)</f>
        <v/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8" customWidth="1" min="4" max="4"/>
    <col width="10" customWidth="1" min="5" max="5"/>
    <col width="12" customWidth="1" min="6" max="6"/>
    <col width="8" customWidth="1" min="7" max="7"/>
  </cols>
  <sheetData>
    <row r="1">
      <c r="A1" s="1" t="inlineStr">
        <is>
          <t>绿源环保科技 销售明细表</t>
        </is>
      </c>
    </row>
    <row r="3">
      <c r="A3" s="2" t="inlineStr">
        <is>
          <t>日期</t>
        </is>
      </c>
      <c r="B3" s="2" t="inlineStr">
        <is>
          <t>产品名称</t>
        </is>
      </c>
      <c r="C3" s="2" t="inlineStr">
        <is>
          <t>客户名称</t>
        </is>
      </c>
      <c r="D3" s="2" t="inlineStr">
        <is>
          <t>数量</t>
        </is>
      </c>
      <c r="E3" s="2" t="inlineStr">
        <is>
          <t>单价</t>
        </is>
      </c>
      <c r="F3" s="2" t="inlineStr">
        <is>
          <t>金额</t>
        </is>
      </c>
      <c r="G3" s="2" t="inlineStr">
        <is>
          <t>区域</t>
        </is>
      </c>
    </row>
    <row r="4">
      <c r="A4" s="3" t="inlineStr">
        <is>
          <t>2023-02-02</t>
        </is>
      </c>
      <c r="B4" s="3" t="inlineStr">
        <is>
          <t>云平台服务</t>
        </is>
      </c>
      <c r="C4" s="3" t="inlineStr">
        <is>
          <t>XX能源公司</t>
        </is>
      </c>
      <c r="D4" s="3" t="n">
        <v>5</v>
      </c>
      <c r="E4" s="6" t="n">
        <v>158000</v>
      </c>
      <c r="F4" s="6">
        <f>D4*E4</f>
        <v/>
      </c>
      <c r="G4" s="3" t="inlineStr">
        <is>
          <t>西北</t>
        </is>
      </c>
    </row>
    <row r="5">
      <c r="A5" s="3" t="inlineStr">
        <is>
          <t>2023-05-25</t>
        </is>
      </c>
      <c r="B5" s="3" t="inlineStr">
        <is>
          <t>数字孪生平台</t>
        </is>
      </c>
      <c r="C5" s="3" t="inlineStr">
        <is>
          <t>XX农业科技</t>
        </is>
      </c>
      <c r="D5" s="3" t="n">
        <v>2</v>
      </c>
      <c r="E5" s="6" t="n">
        <v>220000</v>
      </c>
      <c r="F5" s="6">
        <f>D5*E5</f>
        <v/>
      </c>
      <c r="G5" s="3" t="inlineStr">
        <is>
          <t>华东</t>
        </is>
      </c>
    </row>
    <row r="6">
      <c r="A6" s="3" t="inlineStr">
        <is>
          <t>2023-11-21</t>
        </is>
      </c>
      <c r="B6" s="3" t="inlineStr">
        <is>
          <t>智能网关</t>
        </is>
      </c>
      <c r="C6" s="3" t="inlineStr">
        <is>
          <t>XX教育科技</t>
        </is>
      </c>
      <c r="D6" s="3" t="n">
        <v>3</v>
      </c>
      <c r="E6" s="6" t="n">
        <v>28500</v>
      </c>
      <c r="F6" s="6">
        <f>D6*E6</f>
        <v/>
      </c>
      <c r="G6" s="3" t="inlineStr">
        <is>
          <t>华中</t>
        </is>
      </c>
    </row>
    <row r="7">
      <c r="A7" s="3" t="inlineStr">
        <is>
          <t>2023-05-05</t>
        </is>
      </c>
      <c r="B7" s="3" t="inlineStr">
        <is>
          <t>区块链存证平台</t>
        </is>
      </c>
      <c r="C7" s="3" t="inlineStr">
        <is>
          <t>XX环保科技</t>
        </is>
      </c>
      <c r="D7" s="3" t="n">
        <v>22</v>
      </c>
      <c r="E7" s="6" t="n">
        <v>55000</v>
      </c>
      <c r="F7" s="6">
        <f>D7*E7</f>
        <v/>
      </c>
      <c r="G7" s="3" t="inlineStr">
        <is>
          <t>西南</t>
        </is>
      </c>
    </row>
    <row r="8">
      <c r="A8" s="3" t="inlineStr">
        <is>
          <t>2023-01-17</t>
        </is>
      </c>
      <c r="B8" s="3" t="inlineStr">
        <is>
          <t>区块链存证平台</t>
        </is>
      </c>
      <c r="C8" s="3" t="inlineStr">
        <is>
          <t>XX农业科技</t>
        </is>
      </c>
      <c r="D8" s="3" t="n">
        <v>50</v>
      </c>
      <c r="E8" s="6" t="n">
        <v>55000</v>
      </c>
      <c r="F8" s="6">
        <f>D8*E8</f>
        <v/>
      </c>
      <c r="G8" s="3" t="inlineStr">
        <is>
          <t>华中</t>
        </is>
      </c>
    </row>
    <row r="9">
      <c r="A9" s="3" t="inlineStr">
        <is>
          <t>2023-07-13</t>
        </is>
      </c>
      <c r="B9" s="3" t="inlineStr">
        <is>
          <t>区块链存证平台</t>
        </is>
      </c>
      <c r="C9" s="3" t="inlineStr">
        <is>
          <t>XX省电力公司</t>
        </is>
      </c>
      <c r="D9" s="3" t="n">
        <v>50</v>
      </c>
      <c r="E9" s="6" t="n">
        <v>55000</v>
      </c>
      <c r="F9" s="6">
        <f>D9*E9</f>
        <v/>
      </c>
      <c r="G9" s="3" t="inlineStr">
        <is>
          <t>西南</t>
        </is>
      </c>
    </row>
    <row r="10">
      <c r="A10" s="3" t="inlineStr">
        <is>
          <t>2023-04-01</t>
        </is>
      </c>
      <c r="B10" s="3" t="inlineStr">
        <is>
          <t>AI推理加速卡</t>
        </is>
      </c>
      <c r="C10" s="3" t="inlineStr">
        <is>
          <t>XX农业科技</t>
        </is>
      </c>
      <c r="D10" s="3" t="n">
        <v>45</v>
      </c>
      <c r="E10" s="6" t="n">
        <v>128000</v>
      </c>
      <c r="F10" s="6">
        <f>D10*E10</f>
        <v/>
      </c>
      <c r="G10" s="3" t="inlineStr">
        <is>
          <t>华北</t>
        </is>
      </c>
    </row>
    <row r="11">
      <c r="A11" s="3" t="inlineStr">
        <is>
          <t>2023-10-18</t>
        </is>
      </c>
      <c r="B11" s="3" t="inlineStr">
        <is>
          <t>边缘计算节点</t>
        </is>
      </c>
      <c r="C11" s="3" t="inlineStr">
        <is>
          <t>XX教育科技</t>
        </is>
      </c>
      <c r="D11" s="3" t="n">
        <v>22</v>
      </c>
      <c r="E11" s="6" t="n">
        <v>32000</v>
      </c>
      <c r="F11" s="6">
        <f>D11*E11</f>
        <v/>
      </c>
      <c r="G11" s="3" t="inlineStr">
        <is>
          <t>华南</t>
        </is>
      </c>
    </row>
    <row r="12">
      <c r="A12" s="3" t="inlineStr">
        <is>
          <t>2023-07-02</t>
        </is>
      </c>
      <c r="B12" s="3" t="inlineStr">
        <is>
          <t>视频分析系统</t>
        </is>
      </c>
      <c r="C12" s="3" t="inlineStr">
        <is>
          <t>XX省电力公司</t>
        </is>
      </c>
      <c r="D12" s="3" t="n">
        <v>42</v>
      </c>
      <c r="E12" s="6" t="n">
        <v>78000</v>
      </c>
      <c r="F12" s="6">
        <f>D12*E12</f>
        <v/>
      </c>
      <c r="G12" s="3" t="inlineStr">
        <is>
          <t>华南</t>
        </is>
      </c>
    </row>
    <row r="13">
      <c r="A13" s="3" t="inlineStr">
        <is>
          <t>2023-09-28</t>
        </is>
      </c>
      <c r="B13" s="3" t="inlineStr">
        <is>
          <t>边缘计算节点</t>
        </is>
      </c>
      <c r="C13" s="3" t="inlineStr">
        <is>
          <t>XX农业科技</t>
        </is>
      </c>
      <c r="D13" s="3" t="n">
        <v>6</v>
      </c>
      <c r="E13" s="6" t="n">
        <v>32000</v>
      </c>
      <c r="F13" s="6">
        <f>D13*E13</f>
        <v/>
      </c>
      <c r="G13" s="3" t="inlineStr">
        <is>
          <t>东北</t>
        </is>
      </c>
    </row>
    <row r="14">
      <c r="A14" s="3" t="inlineStr">
        <is>
          <t>2023-05-21</t>
        </is>
      </c>
      <c r="B14" s="3" t="inlineStr">
        <is>
          <t>物联网模组</t>
        </is>
      </c>
      <c r="C14" s="3" t="inlineStr">
        <is>
          <t>XX交通集团</t>
        </is>
      </c>
      <c r="D14" s="3" t="n">
        <v>12</v>
      </c>
      <c r="E14" s="6" t="n">
        <v>4500</v>
      </c>
      <c r="F14" s="6">
        <f>D14*E14</f>
        <v/>
      </c>
      <c r="G14" s="3" t="inlineStr">
        <is>
          <t>华北</t>
        </is>
      </c>
    </row>
    <row r="15">
      <c r="A15" s="3" t="inlineStr">
        <is>
          <t>2023-07-22</t>
        </is>
      </c>
      <c r="B15" s="3" t="inlineStr">
        <is>
          <t>物联网模组</t>
        </is>
      </c>
      <c r="C15" s="3" t="inlineStr">
        <is>
          <t>XX零售集团</t>
        </is>
      </c>
      <c r="D15" s="3" t="n">
        <v>20</v>
      </c>
      <c r="E15" s="6" t="n">
        <v>4500</v>
      </c>
      <c r="F15" s="6">
        <f>D15*E15</f>
        <v/>
      </c>
      <c r="G15" s="3" t="inlineStr">
        <is>
          <t>华中</t>
        </is>
      </c>
    </row>
    <row r="16">
      <c r="A16" s="3" t="inlineStr">
        <is>
          <t>2023-02-21</t>
        </is>
      </c>
      <c r="B16" s="3" t="inlineStr">
        <is>
          <t>区块链存证平台</t>
        </is>
      </c>
      <c r="C16" s="3" t="inlineStr">
        <is>
          <t>XX农业科技</t>
        </is>
      </c>
      <c r="D16" s="3" t="n">
        <v>23</v>
      </c>
      <c r="E16" s="6" t="n">
        <v>55000</v>
      </c>
      <c r="F16" s="6">
        <f>D16*E16</f>
        <v/>
      </c>
      <c r="G16" s="3" t="inlineStr">
        <is>
          <t>华北</t>
        </is>
      </c>
    </row>
    <row r="17">
      <c r="A17" s="3" t="inlineStr">
        <is>
          <t>2023-11-15</t>
        </is>
      </c>
      <c r="B17" s="3" t="inlineStr">
        <is>
          <t>区块链存证平台</t>
        </is>
      </c>
      <c r="C17" s="3" t="inlineStr">
        <is>
          <t>XX精密制造</t>
        </is>
      </c>
      <c r="D17" s="3" t="n">
        <v>13</v>
      </c>
      <c r="E17" s="6" t="n">
        <v>55000</v>
      </c>
      <c r="F17" s="6">
        <f>D17*E17</f>
        <v/>
      </c>
      <c r="G17" s="3" t="inlineStr">
        <is>
          <t>华北</t>
        </is>
      </c>
    </row>
    <row r="18">
      <c r="A18" s="3" t="inlineStr">
        <is>
          <t>2023-04-01</t>
        </is>
      </c>
      <c r="B18" s="3" t="inlineStr">
        <is>
          <t>区块链存证平台</t>
        </is>
      </c>
      <c r="C18" s="3" t="inlineStr">
        <is>
          <t>XX智慧城市运营</t>
        </is>
      </c>
      <c r="D18" s="3" t="n">
        <v>38</v>
      </c>
      <c r="E18" s="6" t="n">
        <v>55000</v>
      </c>
      <c r="F18" s="6">
        <f>D18*E18</f>
        <v/>
      </c>
      <c r="G18" s="3" t="inlineStr">
        <is>
          <t>华中</t>
        </is>
      </c>
    </row>
    <row r="19">
      <c r="A19" s="3" t="inlineStr">
        <is>
          <t>2023-07-03</t>
        </is>
      </c>
      <c r="B19" s="3" t="inlineStr">
        <is>
          <t>工业路由器</t>
        </is>
      </c>
      <c r="C19" s="3" t="inlineStr">
        <is>
          <t>XX物流科技</t>
        </is>
      </c>
      <c r="D19" s="3" t="n">
        <v>42</v>
      </c>
      <c r="E19" s="6" t="n">
        <v>8500</v>
      </c>
      <c r="F19" s="6">
        <f>D19*E19</f>
        <v/>
      </c>
      <c r="G19" s="3" t="inlineStr">
        <is>
          <t>华中</t>
        </is>
      </c>
    </row>
    <row r="20">
      <c r="A20" s="3" t="inlineStr">
        <is>
          <t>2023-09-27</t>
        </is>
      </c>
      <c r="B20" s="3" t="inlineStr">
        <is>
          <t>数字孪生平台</t>
        </is>
      </c>
      <c r="C20" s="3" t="inlineStr">
        <is>
          <t>XX市水务集团</t>
        </is>
      </c>
      <c r="D20" s="3" t="n">
        <v>2</v>
      </c>
      <c r="E20" s="6" t="n">
        <v>220000</v>
      </c>
      <c r="F20" s="6">
        <f>D20*E20</f>
        <v/>
      </c>
      <c r="G20" s="3" t="inlineStr">
        <is>
          <t>华南</t>
        </is>
      </c>
    </row>
    <row r="21">
      <c r="A21" s="3" t="inlineStr">
        <is>
          <t>2023-01-11</t>
        </is>
      </c>
      <c r="B21" s="3" t="inlineStr">
        <is>
          <t>区块链存证平台</t>
        </is>
      </c>
      <c r="C21" s="3" t="inlineStr">
        <is>
          <t>XX环保科技</t>
        </is>
      </c>
      <c r="D21" s="3" t="n">
        <v>3</v>
      </c>
      <c r="E21" s="6" t="n">
        <v>55000</v>
      </c>
      <c r="F21" s="6">
        <f>D21*E21</f>
        <v/>
      </c>
      <c r="G21" s="3" t="inlineStr">
        <is>
          <t>华北</t>
        </is>
      </c>
    </row>
    <row r="22">
      <c r="A22" s="3" t="inlineStr">
        <is>
          <t>2023-04-26</t>
        </is>
      </c>
      <c r="B22" s="3" t="inlineStr">
        <is>
          <t>视频分析系统</t>
        </is>
      </c>
      <c r="C22" s="3" t="inlineStr">
        <is>
          <t>XX交通集团</t>
        </is>
      </c>
      <c r="D22" s="3" t="n">
        <v>43</v>
      </c>
      <c r="E22" s="6" t="n">
        <v>78000</v>
      </c>
      <c r="F22" s="6">
        <f>D22*E22</f>
        <v/>
      </c>
      <c r="G22" s="3" t="inlineStr">
        <is>
          <t>华中</t>
        </is>
      </c>
    </row>
    <row r="23">
      <c r="A23" s="3" t="inlineStr">
        <is>
          <t>2023-11-28</t>
        </is>
      </c>
      <c r="B23" s="3" t="inlineStr">
        <is>
          <t>工业路由器</t>
        </is>
      </c>
      <c r="C23" s="3" t="inlineStr">
        <is>
          <t>XX零售集团</t>
        </is>
      </c>
      <c r="D23" s="3" t="n">
        <v>10</v>
      </c>
      <c r="E23" s="6" t="n">
        <v>8500</v>
      </c>
      <c r="F23" s="6">
        <f>D23*E23</f>
        <v/>
      </c>
      <c r="G23" s="3" t="inlineStr">
        <is>
          <t>西南</t>
        </is>
      </c>
    </row>
    <row r="24">
      <c r="A24" s="3" t="inlineStr">
        <is>
          <t>2023-04-03</t>
        </is>
      </c>
      <c r="B24" s="3" t="inlineStr">
        <is>
          <t>智能网关</t>
        </is>
      </c>
      <c r="C24" s="3" t="inlineStr">
        <is>
          <t>XX精密制造</t>
        </is>
      </c>
      <c r="D24" s="3" t="n">
        <v>48</v>
      </c>
      <c r="E24" s="6" t="n">
        <v>28500</v>
      </c>
      <c r="F24" s="6">
        <f>D24*E24</f>
        <v/>
      </c>
      <c r="G24" s="3" t="inlineStr">
        <is>
          <t>华中</t>
        </is>
      </c>
    </row>
    <row r="25">
      <c r="A25" s="3" t="inlineStr">
        <is>
          <t>2023-11-01</t>
        </is>
      </c>
      <c r="B25" s="3" t="inlineStr">
        <is>
          <t>数字孪生平台</t>
        </is>
      </c>
      <c r="C25" s="3" t="inlineStr">
        <is>
          <t>XX市水务集团</t>
        </is>
      </c>
      <c r="D25" s="3" t="n">
        <v>40</v>
      </c>
      <c r="E25" s="6" t="n">
        <v>220000</v>
      </c>
      <c r="F25" s="6">
        <f>D25*E25</f>
        <v/>
      </c>
      <c r="G25" s="3" t="inlineStr">
        <is>
          <t>华东</t>
        </is>
      </c>
    </row>
    <row r="26">
      <c r="A26" s="3" t="inlineStr">
        <is>
          <t>2023-12-21</t>
        </is>
      </c>
      <c r="B26" s="3" t="inlineStr">
        <is>
          <t>数据分析引擎</t>
        </is>
      </c>
      <c r="C26" s="3" t="inlineStr">
        <is>
          <t>XX精密制造</t>
        </is>
      </c>
      <c r="D26" s="3" t="n">
        <v>1</v>
      </c>
      <c r="E26" s="6" t="n">
        <v>98000</v>
      </c>
      <c r="F26" s="6">
        <f>D26*E26</f>
        <v/>
      </c>
      <c r="G26" s="3" t="inlineStr">
        <is>
          <t>西北</t>
        </is>
      </c>
    </row>
    <row r="27">
      <c r="A27" s="3" t="inlineStr">
        <is>
          <t>2023-01-10</t>
        </is>
      </c>
      <c r="B27" s="3" t="inlineStr">
        <is>
          <t>云平台服务</t>
        </is>
      </c>
      <c r="C27" s="3" t="inlineStr">
        <is>
          <t>XX能源公司</t>
        </is>
      </c>
      <c r="D27" s="3" t="n">
        <v>30</v>
      </c>
      <c r="E27" s="6" t="n">
        <v>158000</v>
      </c>
      <c r="F27" s="6">
        <f>D27*E27</f>
        <v/>
      </c>
      <c r="G27" s="3" t="inlineStr">
        <is>
          <t>华东</t>
        </is>
      </c>
    </row>
    <row r="28">
      <c r="A28" s="3" t="inlineStr">
        <is>
          <t>2023-10-03</t>
        </is>
      </c>
      <c r="B28" s="3" t="inlineStr">
        <is>
          <t>云平台服务</t>
        </is>
      </c>
      <c r="C28" s="3" t="inlineStr">
        <is>
          <t>XX农业科技</t>
        </is>
      </c>
      <c r="D28" s="3" t="n">
        <v>8</v>
      </c>
      <c r="E28" s="6" t="n">
        <v>158000</v>
      </c>
      <c r="F28" s="6">
        <f>D28*E28</f>
        <v/>
      </c>
      <c r="G28" s="3" t="inlineStr">
        <is>
          <t>西南</t>
        </is>
      </c>
    </row>
    <row r="29">
      <c r="A29" s="3" t="inlineStr">
        <is>
          <t>2023-10-08</t>
        </is>
      </c>
      <c r="B29" s="3" t="inlineStr">
        <is>
          <t>云平台服务</t>
        </is>
      </c>
      <c r="C29" s="3" t="inlineStr">
        <is>
          <t>XX环保科技</t>
        </is>
      </c>
      <c r="D29" s="3" t="n">
        <v>13</v>
      </c>
      <c r="E29" s="6" t="n">
        <v>158000</v>
      </c>
      <c r="F29" s="6">
        <f>D29*E29</f>
        <v/>
      </c>
      <c r="G29" s="3" t="inlineStr">
        <is>
          <t>华南</t>
        </is>
      </c>
    </row>
    <row r="30">
      <c r="A30" s="3" t="inlineStr">
        <is>
          <t>2023-12-22</t>
        </is>
      </c>
      <c r="B30" s="3" t="inlineStr">
        <is>
          <t>AI推理加速卡</t>
        </is>
      </c>
      <c r="C30" s="3" t="inlineStr">
        <is>
          <t>XX省电力公司</t>
        </is>
      </c>
      <c r="D30" s="3" t="n">
        <v>21</v>
      </c>
      <c r="E30" s="6" t="n">
        <v>128000</v>
      </c>
      <c r="F30" s="6">
        <f>D30*E30</f>
        <v/>
      </c>
      <c r="G30" s="3" t="inlineStr">
        <is>
          <t>西北</t>
        </is>
      </c>
    </row>
    <row r="31">
      <c r="A31" s="3" t="inlineStr">
        <is>
          <t>2023-10-18</t>
        </is>
      </c>
      <c r="B31" s="3" t="inlineStr">
        <is>
          <t>数据分析引擎</t>
        </is>
      </c>
      <c r="C31" s="3" t="inlineStr">
        <is>
          <t>XX智慧城市运营</t>
        </is>
      </c>
      <c r="D31" s="3" t="n">
        <v>21</v>
      </c>
      <c r="E31" s="6" t="n">
        <v>98000</v>
      </c>
      <c r="F31" s="6">
        <f>D31*E31</f>
        <v/>
      </c>
      <c r="G31" s="3" t="inlineStr">
        <is>
          <t>东北</t>
        </is>
      </c>
    </row>
    <row r="32">
      <c r="A32" s="3" t="inlineStr">
        <is>
          <t>2023-01-19</t>
        </is>
      </c>
      <c r="B32" s="3" t="inlineStr">
        <is>
          <t>数据分析引擎</t>
        </is>
      </c>
      <c r="C32" s="3" t="inlineStr">
        <is>
          <t>XX省电力公司</t>
        </is>
      </c>
      <c r="D32" s="3" t="n">
        <v>22</v>
      </c>
      <c r="E32" s="6" t="n">
        <v>98000</v>
      </c>
      <c r="F32" s="6">
        <f>D32*E32</f>
        <v/>
      </c>
      <c r="G32" s="3" t="inlineStr">
        <is>
          <t>华北</t>
        </is>
      </c>
    </row>
    <row r="33">
      <c r="A33" s="3" t="inlineStr">
        <is>
          <t>2023-05-05</t>
        </is>
      </c>
      <c r="B33" s="3" t="inlineStr">
        <is>
          <t>AI推理加速卡</t>
        </is>
      </c>
      <c r="C33" s="3" t="inlineStr">
        <is>
          <t>XX零售集团</t>
        </is>
      </c>
      <c r="D33" s="3" t="n">
        <v>11</v>
      </c>
      <c r="E33" s="6" t="n">
        <v>128000</v>
      </c>
      <c r="F33" s="6">
        <f>D33*E33</f>
        <v/>
      </c>
      <c r="G33" s="3" t="inlineStr">
        <is>
          <t>华南</t>
        </is>
      </c>
    </row>
    <row r="34">
      <c r="A34" s="3" t="inlineStr">
        <is>
          <t>2023-09-06</t>
        </is>
      </c>
      <c r="B34" s="3" t="inlineStr">
        <is>
          <t>数字孪生平台</t>
        </is>
      </c>
      <c r="C34" s="3" t="inlineStr">
        <is>
          <t>XX能源公司</t>
        </is>
      </c>
      <c r="D34" s="3" t="n">
        <v>16</v>
      </c>
      <c r="E34" s="6" t="n">
        <v>220000</v>
      </c>
      <c r="F34" s="6">
        <f>D34*E34</f>
        <v/>
      </c>
      <c r="G34" s="3" t="inlineStr">
        <is>
          <t>华北</t>
        </is>
      </c>
    </row>
    <row r="35">
      <c r="A35" s="3" t="inlineStr">
        <is>
          <t>2023-03-04</t>
        </is>
      </c>
      <c r="B35" s="3" t="inlineStr">
        <is>
          <t>视频分析系统</t>
        </is>
      </c>
      <c r="C35" s="3" t="inlineStr">
        <is>
          <t>XX环保科技</t>
        </is>
      </c>
      <c r="D35" s="3" t="n">
        <v>40</v>
      </c>
      <c r="E35" s="6" t="n">
        <v>78000</v>
      </c>
      <c r="F35" s="6">
        <f>D35*E35</f>
        <v/>
      </c>
      <c r="G35" s="3" t="inlineStr">
        <is>
          <t>东北</t>
        </is>
      </c>
    </row>
    <row r="36">
      <c r="A36" s="3" t="inlineStr">
        <is>
          <t>2023-03-01</t>
        </is>
      </c>
      <c r="B36" s="3" t="inlineStr">
        <is>
          <t>数字孪生平台</t>
        </is>
      </c>
      <c r="C36" s="3" t="inlineStr">
        <is>
          <t>XX市水务集团</t>
        </is>
      </c>
      <c r="D36" s="3" t="n">
        <v>6</v>
      </c>
      <c r="E36" s="6" t="n">
        <v>220000</v>
      </c>
      <c r="F36" s="6">
        <f>D36*E36</f>
        <v/>
      </c>
      <c r="G36" s="3" t="inlineStr">
        <is>
          <t>华北</t>
        </is>
      </c>
    </row>
    <row r="37">
      <c r="A37" s="3" t="inlineStr">
        <is>
          <t>2023-03-03</t>
        </is>
      </c>
      <c r="B37" s="3" t="inlineStr">
        <is>
          <t>区块链存证平台</t>
        </is>
      </c>
      <c r="C37" s="3" t="inlineStr">
        <is>
          <t>XX能源公司</t>
        </is>
      </c>
      <c r="D37" s="3" t="n">
        <v>42</v>
      </c>
      <c r="E37" s="6" t="n">
        <v>55000</v>
      </c>
      <c r="F37" s="6">
        <f>D37*E37</f>
        <v/>
      </c>
      <c r="G37" s="3" t="inlineStr">
        <is>
          <t>华南</t>
        </is>
      </c>
    </row>
    <row r="38">
      <c r="A38" s="3" t="inlineStr">
        <is>
          <t>2023-07-23</t>
        </is>
      </c>
      <c r="B38" s="3" t="inlineStr">
        <is>
          <t>数字孪生平台</t>
        </is>
      </c>
      <c r="C38" s="3" t="inlineStr">
        <is>
          <t>XX精密制造</t>
        </is>
      </c>
      <c r="D38" s="3" t="n">
        <v>45</v>
      </c>
      <c r="E38" s="6" t="n">
        <v>220000</v>
      </c>
      <c r="F38" s="6">
        <f>D38*E38</f>
        <v/>
      </c>
      <c r="G38" s="3" t="inlineStr">
        <is>
          <t>华东</t>
        </is>
      </c>
    </row>
    <row r="39">
      <c r="A39" s="3" t="inlineStr">
        <is>
          <t>2023-03-21</t>
        </is>
      </c>
      <c r="B39" s="3" t="inlineStr">
        <is>
          <t>安全审计系统</t>
        </is>
      </c>
      <c r="C39" s="3" t="inlineStr">
        <is>
          <t>XX农业科技</t>
        </is>
      </c>
      <c r="D39" s="3" t="n">
        <v>34</v>
      </c>
      <c r="E39" s="6" t="n">
        <v>65000</v>
      </c>
      <c r="F39" s="6">
        <f>D39*E39</f>
        <v/>
      </c>
      <c r="G39" s="3" t="inlineStr">
        <is>
          <t>华中</t>
        </is>
      </c>
    </row>
    <row r="40">
      <c r="A40" s="3" t="inlineStr">
        <is>
          <t>2023-04-06</t>
        </is>
      </c>
      <c r="B40" s="3" t="inlineStr">
        <is>
          <t>传感器套件</t>
        </is>
      </c>
      <c r="C40" s="3" t="inlineStr">
        <is>
          <t>XX市水务集团</t>
        </is>
      </c>
      <c r="D40" s="3" t="n">
        <v>45</v>
      </c>
      <c r="E40" s="6" t="n">
        <v>3200</v>
      </c>
      <c r="F40" s="6">
        <f>D40*E40</f>
        <v/>
      </c>
      <c r="G40" s="3" t="inlineStr">
        <is>
          <t>西南</t>
        </is>
      </c>
    </row>
    <row r="41">
      <c r="A41" s="3" t="inlineStr">
        <is>
          <t>2023-03-23</t>
        </is>
      </c>
      <c r="B41" s="3" t="inlineStr">
        <is>
          <t>数字孪生平台</t>
        </is>
      </c>
      <c r="C41" s="3" t="inlineStr">
        <is>
          <t>XX省电力公司</t>
        </is>
      </c>
      <c r="D41" s="3" t="n">
        <v>40</v>
      </c>
      <c r="E41" s="6" t="n">
        <v>220000</v>
      </c>
      <c r="F41" s="6">
        <f>D41*E41</f>
        <v/>
      </c>
      <c r="G41" s="3" t="inlineStr">
        <is>
          <t>西北</t>
        </is>
      </c>
    </row>
    <row r="42">
      <c r="A42" s="3" t="inlineStr">
        <is>
          <t>2023-05-12</t>
        </is>
      </c>
      <c r="B42" s="3" t="inlineStr">
        <is>
          <t>AI推理加速卡</t>
        </is>
      </c>
      <c r="C42" s="3" t="inlineStr">
        <is>
          <t>XX交通集团</t>
        </is>
      </c>
      <c r="D42" s="3" t="n">
        <v>1</v>
      </c>
      <c r="E42" s="6" t="n">
        <v>128000</v>
      </c>
      <c r="F42" s="6">
        <f>D42*E42</f>
        <v/>
      </c>
      <c r="G42" s="3" t="inlineStr">
        <is>
          <t>华东</t>
        </is>
      </c>
    </row>
    <row r="43">
      <c r="A43" s="3" t="inlineStr">
        <is>
          <t>2023-04-04</t>
        </is>
      </c>
      <c r="B43" s="3" t="inlineStr">
        <is>
          <t>工业路由器</t>
        </is>
      </c>
      <c r="C43" s="3" t="inlineStr">
        <is>
          <t>XX能源公司</t>
        </is>
      </c>
      <c r="D43" s="3" t="n">
        <v>7</v>
      </c>
      <c r="E43" s="6" t="n">
        <v>8500</v>
      </c>
      <c r="F43" s="6">
        <f>D43*E43</f>
        <v/>
      </c>
      <c r="G43" s="3" t="inlineStr">
        <is>
          <t>华南</t>
        </is>
      </c>
    </row>
    <row r="44">
      <c r="A44" s="3" t="inlineStr">
        <is>
          <t>2023-09-17</t>
        </is>
      </c>
      <c r="B44" s="3" t="inlineStr">
        <is>
          <t>物联网模组</t>
        </is>
      </c>
      <c r="C44" s="3" t="inlineStr">
        <is>
          <t>XX教育科技</t>
        </is>
      </c>
      <c r="D44" s="3" t="n">
        <v>30</v>
      </c>
      <c r="E44" s="6" t="n">
        <v>4500</v>
      </c>
      <c r="F44" s="6">
        <f>D44*E44</f>
        <v/>
      </c>
      <c r="G44" s="3" t="inlineStr">
        <is>
          <t>西北</t>
        </is>
      </c>
    </row>
    <row r="45">
      <c r="A45" s="3" t="inlineStr">
        <is>
          <t>2023-04-09</t>
        </is>
      </c>
      <c r="B45" s="3" t="inlineStr">
        <is>
          <t>智能网关</t>
        </is>
      </c>
      <c r="C45" s="3" t="inlineStr">
        <is>
          <t>XX省电力公司</t>
        </is>
      </c>
      <c r="D45" s="3" t="n">
        <v>13</v>
      </c>
      <c r="E45" s="6" t="n">
        <v>28500</v>
      </c>
      <c r="F45" s="6">
        <f>D45*E45</f>
        <v/>
      </c>
      <c r="G45" s="3" t="inlineStr">
        <is>
          <t>东北</t>
        </is>
      </c>
    </row>
    <row r="46">
      <c r="A46" s="3" t="inlineStr">
        <is>
          <t>2023-03-22</t>
        </is>
      </c>
      <c r="B46" s="3" t="inlineStr">
        <is>
          <t>数字孪生平台</t>
        </is>
      </c>
      <c r="C46" s="3" t="inlineStr">
        <is>
          <t>XX精密制造</t>
        </is>
      </c>
      <c r="D46" s="3" t="n">
        <v>32</v>
      </c>
      <c r="E46" s="6" t="n">
        <v>220000</v>
      </c>
      <c r="F46" s="6">
        <f>D46*E46</f>
        <v/>
      </c>
      <c r="G46" s="3" t="inlineStr">
        <is>
          <t>华东</t>
        </is>
      </c>
    </row>
    <row r="47">
      <c r="A47" s="3" t="inlineStr">
        <is>
          <t>2023-11-02</t>
        </is>
      </c>
      <c r="B47" s="3" t="inlineStr">
        <is>
          <t>智能网关</t>
        </is>
      </c>
      <c r="C47" s="3" t="inlineStr">
        <is>
          <t>XX医疗设备</t>
        </is>
      </c>
      <c r="D47" s="3" t="n">
        <v>42</v>
      </c>
      <c r="E47" s="6" t="n">
        <v>28500</v>
      </c>
      <c r="F47" s="6">
        <f>D47*E47</f>
        <v/>
      </c>
      <c r="G47" s="3" t="inlineStr">
        <is>
          <t>华南</t>
        </is>
      </c>
    </row>
    <row r="48">
      <c r="A48" s="3" t="inlineStr">
        <is>
          <t>2023-04-14</t>
        </is>
      </c>
      <c r="B48" s="3" t="inlineStr">
        <is>
          <t>安全审计系统</t>
        </is>
      </c>
      <c r="C48" s="3" t="inlineStr">
        <is>
          <t>XX能源公司</t>
        </is>
      </c>
      <c r="D48" s="3" t="n">
        <v>22</v>
      </c>
      <c r="E48" s="6" t="n">
        <v>65000</v>
      </c>
      <c r="F48" s="6">
        <f>D48*E48</f>
        <v/>
      </c>
      <c r="G48" s="3" t="inlineStr">
        <is>
          <t>东北</t>
        </is>
      </c>
    </row>
    <row r="49">
      <c r="A49" s="3" t="inlineStr">
        <is>
          <t>2023-08-02</t>
        </is>
      </c>
      <c r="B49" s="3" t="inlineStr">
        <is>
          <t>云平台服务</t>
        </is>
      </c>
      <c r="C49" s="3" t="inlineStr">
        <is>
          <t>XX市水务集团</t>
        </is>
      </c>
      <c r="D49" s="3" t="n">
        <v>48</v>
      </c>
      <c r="E49" s="6" t="n">
        <v>158000</v>
      </c>
      <c r="F49" s="6">
        <f>D49*E49</f>
        <v/>
      </c>
      <c r="G49" s="3" t="inlineStr">
        <is>
          <t>西南</t>
        </is>
      </c>
    </row>
    <row r="50">
      <c r="A50" s="3" t="inlineStr">
        <is>
          <t>2023-03-06</t>
        </is>
      </c>
      <c r="B50" s="3" t="inlineStr">
        <is>
          <t>智能网关</t>
        </is>
      </c>
      <c r="C50" s="3" t="inlineStr">
        <is>
          <t>XX交通集团</t>
        </is>
      </c>
      <c r="D50" s="3" t="n">
        <v>32</v>
      </c>
      <c r="E50" s="6" t="n">
        <v>28500</v>
      </c>
      <c r="F50" s="6">
        <f>D50*E50</f>
        <v/>
      </c>
      <c r="G50" s="3" t="inlineStr">
        <is>
          <t>华北</t>
        </is>
      </c>
    </row>
    <row r="51">
      <c r="A51" s="3" t="inlineStr">
        <is>
          <t>2023-02-08</t>
        </is>
      </c>
      <c r="B51" s="3" t="inlineStr">
        <is>
          <t>区块链存证平台</t>
        </is>
      </c>
      <c r="C51" s="3" t="inlineStr">
        <is>
          <t>XX能源公司</t>
        </is>
      </c>
      <c r="D51" s="3" t="n">
        <v>29</v>
      </c>
      <c r="E51" s="6" t="n">
        <v>55000</v>
      </c>
      <c r="F51" s="6">
        <f>D51*E51</f>
        <v/>
      </c>
      <c r="G51" s="3" t="inlineStr">
        <is>
          <t>西南</t>
        </is>
      </c>
    </row>
    <row r="52">
      <c r="A52" s="3" t="inlineStr">
        <is>
          <t>2023-06-14</t>
        </is>
      </c>
      <c r="B52" s="3" t="inlineStr">
        <is>
          <t>物联网模组</t>
        </is>
      </c>
      <c r="C52" s="3" t="inlineStr">
        <is>
          <t>XX教育科技</t>
        </is>
      </c>
      <c r="D52" s="3" t="n">
        <v>48</v>
      </c>
      <c r="E52" s="6" t="n">
        <v>4500</v>
      </c>
      <c r="F52" s="6">
        <f>D52*E52</f>
        <v/>
      </c>
      <c r="G52" s="3" t="inlineStr">
        <is>
          <t>华南</t>
        </is>
      </c>
    </row>
    <row r="53">
      <c r="A53" s="3" t="inlineStr">
        <is>
          <t>2023-04-25</t>
        </is>
      </c>
      <c r="B53" s="3" t="inlineStr">
        <is>
          <t>云平台服务</t>
        </is>
      </c>
      <c r="C53" s="3" t="inlineStr">
        <is>
          <t>XX智慧城市运营</t>
        </is>
      </c>
      <c r="D53" s="3" t="n">
        <v>21</v>
      </c>
      <c r="E53" s="6" t="n">
        <v>158000</v>
      </c>
      <c r="F53" s="6">
        <f>D53*E53</f>
        <v/>
      </c>
      <c r="G53" s="3" t="inlineStr">
        <is>
          <t>华北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4" customWidth="1" min="5" max="5"/>
    <col width="8" customWidth="1" min="6" max="6"/>
    <col width="10" customWidth="1" min="7" max="7"/>
    <col width="8" customWidth="1" min="8" max="8"/>
  </cols>
  <sheetData>
    <row r="1">
      <c r="A1" s="1" t="inlineStr">
        <is>
          <t>绿源环保科技 员工信息表</t>
        </is>
      </c>
    </row>
    <row r="3">
      <c r="A3" s="2" t="inlineStr">
        <is>
          <t>工号</t>
        </is>
      </c>
      <c r="B3" s="2" t="inlineStr">
        <is>
          <t>姓名</t>
        </is>
      </c>
      <c r="C3" s="2" t="inlineStr">
        <is>
          <t>部门</t>
        </is>
      </c>
      <c r="D3" s="2" t="inlineStr">
        <is>
          <t>职位</t>
        </is>
      </c>
      <c r="E3" s="2" t="inlineStr">
        <is>
          <t>入职日期</t>
        </is>
      </c>
      <c r="F3" s="2" t="inlineStr">
        <is>
          <t>学历</t>
        </is>
      </c>
      <c r="G3" s="2" t="inlineStr">
        <is>
          <t>薪资</t>
        </is>
      </c>
      <c r="H3" s="2" t="inlineStr">
        <is>
          <t>绩效</t>
        </is>
      </c>
    </row>
    <row r="4">
      <c r="A4" s="3" t="inlineStr">
        <is>
          <t>EMP0904</t>
        </is>
      </c>
      <c r="B4" s="3" t="inlineStr">
        <is>
          <t>黄军</t>
        </is>
      </c>
      <c r="C4" s="3" t="inlineStr">
        <is>
          <t>行政部</t>
        </is>
      </c>
      <c r="D4" s="3" t="inlineStr">
        <is>
          <t>高级工程师</t>
        </is>
      </c>
      <c r="E4" s="3" t="inlineStr">
        <is>
          <t>2016-04-03</t>
        </is>
      </c>
      <c r="F4" s="3" t="inlineStr">
        <is>
          <t>大专</t>
        </is>
      </c>
      <c r="G4" s="6" t="n">
        <v>46344</v>
      </c>
      <c r="H4" s="3" t="inlineStr">
        <is>
          <t>C</t>
        </is>
      </c>
    </row>
    <row r="5">
      <c r="A5" s="3" t="inlineStr">
        <is>
          <t>EMP0905</t>
        </is>
      </c>
      <c r="B5" s="3" t="inlineStr">
        <is>
          <t>李军</t>
        </is>
      </c>
      <c r="C5" s="3" t="inlineStr">
        <is>
          <t>市场部</t>
        </is>
      </c>
      <c r="D5" s="3" t="inlineStr">
        <is>
          <t>高级工程师</t>
        </is>
      </c>
      <c r="E5" s="3" t="inlineStr">
        <is>
          <t>2015-03-13</t>
        </is>
      </c>
      <c r="F5" s="3" t="inlineStr">
        <is>
          <t>本科</t>
        </is>
      </c>
      <c r="G5" s="6" t="n">
        <v>16939</v>
      </c>
      <c r="H5" s="3" t="inlineStr">
        <is>
          <t>C</t>
        </is>
      </c>
    </row>
    <row r="6">
      <c r="A6" s="3" t="inlineStr">
        <is>
          <t>EMP0906</t>
        </is>
      </c>
      <c r="B6" s="3" t="inlineStr">
        <is>
          <t>唐芳</t>
        </is>
      </c>
      <c r="C6" s="3" t="inlineStr">
        <is>
          <t>人事部</t>
        </is>
      </c>
      <c r="D6" s="3" t="inlineStr">
        <is>
          <t>经理</t>
        </is>
      </c>
      <c r="E6" s="3" t="inlineStr">
        <is>
          <t>2018-04-11</t>
        </is>
      </c>
      <c r="F6" s="3" t="inlineStr">
        <is>
          <t>硕士</t>
        </is>
      </c>
      <c r="G6" s="6" t="n">
        <v>10103</v>
      </c>
      <c r="H6" s="3" t="inlineStr">
        <is>
          <t>A+</t>
        </is>
      </c>
    </row>
    <row r="7">
      <c r="A7" s="3" t="inlineStr">
        <is>
          <t>EMP0907</t>
        </is>
      </c>
      <c r="B7" s="3" t="inlineStr">
        <is>
          <t>李丽</t>
        </is>
      </c>
      <c r="C7" s="3" t="inlineStr">
        <is>
          <t>市场部</t>
        </is>
      </c>
      <c r="D7" s="3" t="inlineStr">
        <is>
          <t>工程师</t>
        </is>
      </c>
      <c r="E7" s="3" t="inlineStr">
        <is>
          <t>2015-08-14</t>
        </is>
      </c>
      <c r="F7" s="3" t="inlineStr">
        <is>
          <t>硕士</t>
        </is>
      </c>
      <c r="G7" s="6" t="n">
        <v>30516</v>
      </c>
      <c r="H7" s="3" t="inlineStr">
        <is>
          <t>B+</t>
        </is>
      </c>
    </row>
    <row r="8">
      <c r="A8" s="3" t="inlineStr">
        <is>
          <t>EMP0908</t>
        </is>
      </c>
      <c r="B8" s="3" t="inlineStr">
        <is>
          <t>邓丽</t>
        </is>
      </c>
      <c r="C8" s="3" t="inlineStr">
        <is>
          <t>财务部</t>
        </is>
      </c>
      <c r="D8" s="3" t="inlineStr">
        <is>
          <t>高级工程师</t>
        </is>
      </c>
      <c r="E8" s="3" t="inlineStr">
        <is>
          <t>2020-10-18</t>
        </is>
      </c>
      <c r="F8" s="3" t="inlineStr">
        <is>
          <t>硕士</t>
        </is>
      </c>
      <c r="G8" s="6" t="n">
        <v>13667</v>
      </c>
      <c r="H8" s="3" t="inlineStr">
        <is>
          <t>C</t>
        </is>
      </c>
    </row>
    <row r="9">
      <c r="A9" s="3" t="inlineStr">
        <is>
          <t>EMP0909</t>
        </is>
      </c>
      <c r="B9" s="3" t="inlineStr">
        <is>
          <t>韩静</t>
        </is>
      </c>
      <c r="C9" s="3" t="inlineStr">
        <is>
          <t>运营部</t>
        </is>
      </c>
      <c r="D9" s="3" t="inlineStr">
        <is>
          <t>总监</t>
        </is>
      </c>
      <c r="E9" s="3" t="inlineStr">
        <is>
          <t>2019-10-16</t>
        </is>
      </c>
      <c r="F9" s="3" t="inlineStr">
        <is>
          <t>大专</t>
        </is>
      </c>
      <c r="G9" s="6" t="n">
        <v>26295</v>
      </c>
      <c r="H9" s="3" t="inlineStr">
        <is>
          <t>A</t>
        </is>
      </c>
    </row>
    <row r="10">
      <c r="A10" s="3" t="inlineStr">
        <is>
          <t>EMP0910</t>
        </is>
      </c>
      <c r="B10" s="3" t="inlineStr">
        <is>
          <t>唐军</t>
        </is>
      </c>
      <c r="C10" s="3" t="inlineStr">
        <is>
          <t>人事部</t>
        </is>
      </c>
      <c r="D10" s="3" t="inlineStr">
        <is>
          <t>总监</t>
        </is>
      </c>
      <c r="E10" s="3" t="inlineStr">
        <is>
          <t>2019-04-11</t>
        </is>
      </c>
      <c r="F10" s="3" t="inlineStr">
        <is>
          <t>大专</t>
        </is>
      </c>
      <c r="G10" s="6" t="n">
        <v>45975</v>
      </c>
      <c r="H10" s="3" t="inlineStr">
        <is>
          <t>B+</t>
        </is>
      </c>
    </row>
    <row r="11">
      <c r="A11" s="3" t="inlineStr">
        <is>
          <t>EMP0911</t>
        </is>
      </c>
      <c r="B11" s="3" t="inlineStr">
        <is>
          <t>邓伟</t>
        </is>
      </c>
      <c r="C11" s="3" t="inlineStr">
        <is>
          <t>财务部</t>
        </is>
      </c>
      <c r="D11" s="3" t="inlineStr">
        <is>
          <t>工程师</t>
        </is>
      </c>
      <c r="E11" s="3" t="inlineStr">
        <is>
          <t>2016-01-02</t>
        </is>
      </c>
      <c r="F11" s="3" t="inlineStr">
        <is>
          <t>大专</t>
        </is>
      </c>
      <c r="G11" s="6" t="n">
        <v>41044</v>
      </c>
      <c r="H11" s="3" t="inlineStr">
        <is>
          <t>A</t>
        </is>
      </c>
    </row>
    <row r="12">
      <c r="A12" s="3" t="inlineStr">
        <is>
          <t>EMP0912</t>
        </is>
      </c>
      <c r="B12" s="3" t="inlineStr">
        <is>
          <t>胡静</t>
        </is>
      </c>
      <c r="C12" s="3" t="inlineStr">
        <is>
          <t>运营部</t>
        </is>
      </c>
      <c r="D12" s="3" t="inlineStr">
        <is>
          <t>主管</t>
        </is>
      </c>
      <c r="E12" s="3" t="inlineStr">
        <is>
          <t>2021-08-16</t>
        </is>
      </c>
      <c r="F12" s="3" t="inlineStr">
        <is>
          <t>硕士</t>
        </is>
      </c>
      <c r="G12" s="6" t="n">
        <v>13445</v>
      </c>
      <c r="H12" s="3" t="inlineStr">
        <is>
          <t>A+</t>
        </is>
      </c>
    </row>
    <row r="13">
      <c r="A13" s="3" t="inlineStr">
        <is>
          <t>EMP0913</t>
        </is>
      </c>
      <c r="B13" s="3" t="inlineStr">
        <is>
          <t>许明</t>
        </is>
      </c>
      <c r="C13" s="3" t="inlineStr">
        <is>
          <t>人事部</t>
        </is>
      </c>
      <c r="D13" s="3" t="inlineStr">
        <is>
          <t>架构师</t>
        </is>
      </c>
      <c r="E13" s="3" t="inlineStr">
        <is>
          <t>2016-04-05</t>
        </is>
      </c>
      <c r="F13" s="3" t="inlineStr">
        <is>
          <t>本科</t>
        </is>
      </c>
      <c r="G13" s="6" t="n">
        <v>27384</v>
      </c>
      <c r="H13" s="3" t="inlineStr">
        <is>
          <t>B+</t>
        </is>
      </c>
    </row>
    <row r="14">
      <c r="A14" s="3" t="inlineStr">
        <is>
          <t>EMP0914</t>
        </is>
      </c>
      <c r="B14" s="3" t="inlineStr">
        <is>
          <t>郑华</t>
        </is>
      </c>
      <c r="C14" s="3" t="inlineStr">
        <is>
          <t>研发部</t>
        </is>
      </c>
      <c r="D14" s="3" t="inlineStr">
        <is>
          <t>主管</t>
        </is>
      </c>
      <c r="E14" s="3" t="inlineStr">
        <is>
          <t>2018-03-23</t>
        </is>
      </c>
      <c r="F14" s="3" t="inlineStr">
        <is>
          <t>大专</t>
        </is>
      </c>
      <c r="G14" s="6" t="n">
        <v>45380</v>
      </c>
      <c r="H14" s="3" t="inlineStr">
        <is>
          <t>A+</t>
        </is>
      </c>
    </row>
    <row r="15">
      <c r="A15" s="3" t="inlineStr">
        <is>
          <t>EMP0915</t>
        </is>
      </c>
      <c r="B15" s="3" t="inlineStr">
        <is>
          <t>张敏</t>
        </is>
      </c>
      <c r="C15" s="3" t="inlineStr">
        <is>
          <t>运营部</t>
        </is>
      </c>
      <c r="D15" s="3" t="inlineStr">
        <is>
          <t>总监</t>
        </is>
      </c>
      <c r="E15" s="3" t="inlineStr">
        <is>
          <t>2020-12-13</t>
        </is>
      </c>
      <c r="F15" s="3" t="inlineStr">
        <is>
          <t>硕士</t>
        </is>
      </c>
      <c r="G15" s="6" t="n">
        <v>32275</v>
      </c>
      <c r="H15" s="3" t="inlineStr">
        <is>
          <t>C</t>
        </is>
      </c>
    </row>
    <row r="16">
      <c r="A16" s="3" t="inlineStr">
        <is>
          <t>EMP0916</t>
        </is>
      </c>
      <c r="B16" s="3" t="inlineStr">
        <is>
          <t>谢明</t>
        </is>
      </c>
      <c r="C16" s="3" t="inlineStr">
        <is>
          <t>行政部</t>
        </is>
      </c>
      <c r="D16" s="3" t="inlineStr">
        <is>
          <t>架构师</t>
        </is>
      </c>
      <c r="E16" s="3" t="inlineStr">
        <is>
          <t>2021-07-23</t>
        </is>
      </c>
      <c r="F16" s="3" t="inlineStr">
        <is>
          <t>本科</t>
        </is>
      </c>
      <c r="G16" s="6" t="n">
        <v>42794</v>
      </c>
      <c r="H16" s="3" t="inlineStr">
        <is>
          <t>A</t>
        </is>
      </c>
    </row>
    <row r="17">
      <c r="A17" s="3" t="inlineStr">
        <is>
          <t>EMP0917</t>
        </is>
      </c>
      <c r="B17" s="3" t="inlineStr">
        <is>
          <t>吴军</t>
        </is>
      </c>
      <c r="C17" s="3" t="inlineStr">
        <is>
          <t>行政部</t>
        </is>
      </c>
      <c r="D17" s="3" t="inlineStr">
        <is>
          <t>经理</t>
        </is>
      </c>
      <c r="E17" s="3" t="inlineStr">
        <is>
          <t>2019-11-03</t>
        </is>
      </c>
      <c r="F17" s="3" t="inlineStr">
        <is>
          <t>本科</t>
        </is>
      </c>
      <c r="G17" s="6" t="n">
        <v>11592</v>
      </c>
      <c r="H17" s="3" t="inlineStr">
        <is>
          <t>A+</t>
        </is>
      </c>
    </row>
    <row r="18">
      <c r="A18" s="3" t="inlineStr">
        <is>
          <t>EMP0918</t>
        </is>
      </c>
      <c r="B18" s="3" t="inlineStr">
        <is>
          <t>曹强</t>
        </is>
      </c>
      <c r="C18" s="3" t="inlineStr">
        <is>
          <t>研发部</t>
        </is>
      </c>
      <c r="D18" s="3" t="inlineStr">
        <is>
          <t>工程师</t>
        </is>
      </c>
      <c r="E18" s="3" t="inlineStr">
        <is>
          <t>2016-06-15</t>
        </is>
      </c>
      <c r="F18" s="3" t="inlineStr">
        <is>
          <t>博士</t>
        </is>
      </c>
      <c r="G18" s="6" t="n">
        <v>31958</v>
      </c>
      <c r="H18" s="3" t="inlineStr">
        <is>
          <t>B</t>
        </is>
      </c>
    </row>
    <row r="19">
      <c r="A19" s="3" t="inlineStr">
        <is>
          <t>EMP0919</t>
        </is>
      </c>
      <c r="B19" s="3" t="inlineStr">
        <is>
          <t>杨静</t>
        </is>
      </c>
      <c r="C19" s="3" t="inlineStr">
        <is>
          <t>人事部</t>
        </is>
      </c>
      <c r="D19" s="3" t="inlineStr">
        <is>
          <t>工程师</t>
        </is>
      </c>
      <c r="E19" s="3" t="inlineStr">
        <is>
          <t>2019-03-11</t>
        </is>
      </c>
      <c r="F19" s="3" t="inlineStr">
        <is>
          <t>硕士</t>
        </is>
      </c>
      <c r="G19" s="6" t="n">
        <v>43365</v>
      </c>
      <c r="H19" s="3" t="inlineStr">
        <is>
          <t>A</t>
        </is>
      </c>
    </row>
    <row r="20">
      <c r="A20" s="3" t="inlineStr">
        <is>
          <t>EMP0920</t>
        </is>
      </c>
      <c r="B20" s="3" t="inlineStr">
        <is>
          <t>郑敏</t>
        </is>
      </c>
      <c r="C20" s="3" t="inlineStr">
        <is>
          <t>人事部</t>
        </is>
      </c>
      <c r="D20" s="3" t="inlineStr">
        <is>
          <t>总监</t>
        </is>
      </c>
      <c r="E20" s="3" t="inlineStr">
        <is>
          <t>2019-12-25</t>
        </is>
      </c>
      <c r="F20" s="3" t="inlineStr">
        <is>
          <t>硕士</t>
        </is>
      </c>
      <c r="G20" s="6" t="n">
        <v>29001</v>
      </c>
      <c r="H20" s="3" t="inlineStr">
        <is>
          <t>B</t>
        </is>
      </c>
    </row>
    <row r="21">
      <c r="A21" s="3" t="inlineStr">
        <is>
          <t>EMP0921</t>
        </is>
      </c>
      <c r="B21" s="3" t="inlineStr">
        <is>
          <t>邓丽</t>
        </is>
      </c>
      <c r="C21" s="3" t="inlineStr">
        <is>
          <t>财务部</t>
        </is>
      </c>
      <c r="D21" s="3" t="inlineStr">
        <is>
          <t>架构师</t>
        </is>
      </c>
      <c r="E21" s="3" t="inlineStr">
        <is>
          <t>2016-05-02</t>
        </is>
      </c>
      <c r="F21" s="3" t="inlineStr">
        <is>
          <t>博士</t>
        </is>
      </c>
      <c r="G21" s="6" t="n">
        <v>32432</v>
      </c>
      <c r="H21" s="3" t="inlineStr">
        <is>
          <t>B</t>
        </is>
      </c>
    </row>
    <row r="22">
      <c r="A22" s="3" t="inlineStr">
        <is>
          <t>EMP0922</t>
        </is>
      </c>
      <c r="B22" s="3" t="inlineStr">
        <is>
          <t>朱敏</t>
        </is>
      </c>
      <c r="C22" s="3" t="inlineStr">
        <is>
          <t>财务部</t>
        </is>
      </c>
      <c r="D22" s="3" t="inlineStr">
        <is>
          <t>专员</t>
        </is>
      </c>
      <c r="E22" s="3" t="inlineStr">
        <is>
          <t>2021-08-23</t>
        </is>
      </c>
      <c r="F22" s="3" t="inlineStr">
        <is>
          <t>本科</t>
        </is>
      </c>
      <c r="G22" s="6" t="n">
        <v>37620</v>
      </c>
      <c r="H22" s="3" t="inlineStr">
        <is>
          <t>A+</t>
        </is>
      </c>
    </row>
    <row r="23">
      <c r="A23" s="3" t="inlineStr">
        <is>
          <t>EMP0923</t>
        </is>
      </c>
      <c r="B23" s="3" t="inlineStr">
        <is>
          <t>孙华</t>
        </is>
      </c>
      <c r="C23" s="3" t="inlineStr">
        <is>
          <t>市场部</t>
        </is>
      </c>
      <c r="D23" s="3" t="inlineStr">
        <is>
          <t>主管</t>
        </is>
      </c>
      <c r="E23" s="3" t="inlineStr">
        <is>
          <t>2021-02-13</t>
        </is>
      </c>
      <c r="F23" s="3" t="inlineStr">
        <is>
          <t>硕士</t>
        </is>
      </c>
      <c r="G23" s="6" t="n">
        <v>26898</v>
      </c>
      <c r="H23" s="3" t="inlineStr">
        <is>
          <t>A</t>
        </is>
      </c>
    </row>
    <row r="24">
      <c r="A24" s="3" t="inlineStr">
        <is>
          <t>EMP0924</t>
        </is>
      </c>
      <c r="B24" s="3" t="inlineStr">
        <is>
          <t>刘伟</t>
        </is>
      </c>
      <c r="C24" s="3" t="inlineStr">
        <is>
          <t>销售部</t>
        </is>
      </c>
      <c r="D24" s="3" t="inlineStr">
        <is>
          <t>工程师</t>
        </is>
      </c>
      <c r="E24" s="3" t="inlineStr">
        <is>
          <t>2020-08-05</t>
        </is>
      </c>
      <c r="F24" s="3" t="inlineStr">
        <is>
          <t>硕士</t>
        </is>
      </c>
      <c r="G24" s="6" t="n">
        <v>42123</v>
      </c>
      <c r="H24" s="3" t="inlineStr">
        <is>
          <t>A</t>
        </is>
      </c>
    </row>
    <row r="25">
      <c r="A25" s="3" t="inlineStr">
        <is>
          <t>EMP0925</t>
        </is>
      </c>
      <c r="B25" s="3" t="inlineStr">
        <is>
          <t>吴军</t>
        </is>
      </c>
      <c r="C25" s="3" t="inlineStr">
        <is>
          <t>人事部</t>
        </is>
      </c>
      <c r="D25" s="3" t="inlineStr">
        <is>
          <t>专员</t>
        </is>
      </c>
      <c r="E25" s="3" t="inlineStr">
        <is>
          <t>2020-08-12</t>
        </is>
      </c>
      <c r="F25" s="3" t="inlineStr">
        <is>
          <t>大专</t>
        </is>
      </c>
      <c r="G25" s="6" t="n">
        <v>37088</v>
      </c>
      <c r="H25" s="3" t="inlineStr">
        <is>
          <t>A</t>
        </is>
      </c>
    </row>
    <row r="26">
      <c r="A26" s="3" t="inlineStr">
        <is>
          <t>EMP0926</t>
        </is>
      </c>
      <c r="B26" s="3" t="inlineStr">
        <is>
          <t>吴芳</t>
        </is>
      </c>
      <c r="C26" s="3" t="inlineStr">
        <is>
          <t>研发部</t>
        </is>
      </c>
      <c r="D26" s="3" t="inlineStr">
        <is>
          <t>工程师</t>
        </is>
      </c>
      <c r="E26" s="3" t="inlineStr">
        <is>
          <t>2019-09-21</t>
        </is>
      </c>
      <c r="F26" s="3" t="inlineStr">
        <is>
          <t>本科</t>
        </is>
      </c>
      <c r="G26" s="6" t="n">
        <v>34980</v>
      </c>
      <c r="H26" s="3" t="inlineStr">
        <is>
          <t>A+</t>
        </is>
      </c>
    </row>
    <row r="27">
      <c r="A27" s="3" t="inlineStr">
        <is>
          <t>EMP0927</t>
        </is>
      </c>
      <c r="B27" s="3" t="inlineStr">
        <is>
          <t>徐强</t>
        </is>
      </c>
      <c r="C27" s="3" t="inlineStr">
        <is>
          <t>运营部</t>
        </is>
      </c>
      <c r="D27" s="3" t="inlineStr">
        <is>
          <t>专员</t>
        </is>
      </c>
      <c r="E27" s="3" t="inlineStr">
        <is>
          <t>2015-08-10</t>
        </is>
      </c>
      <c r="F27" s="3" t="inlineStr">
        <is>
          <t>硕士</t>
        </is>
      </c>
      <c r="G27" s="6" t="n">
        <v>28086</v>
      </c>
      <c r="H27" s="3" t="inlineStr">
        <is>
          <t>B+</t>
        </is>
      </c>
    </row>
    <row r="28">
      <c r="A28" s="3" t="inlineStr">
        <is>
          <t>EMP0928</t>
        </is>
      </c>
      <c r="B28" s="3" t="inlineStr">
        <is>
          <t>冯丽</t>
        </is>
      </c>
      <c r="C28" s="3" t="inlineStr">
        <is>
          <t>市场部</t>
        </is>
      </c>
      <c r="D28" s="3" t="inlineStr">
        <is>
          <t>主管</t>
        </is>
      </c>
      <c r="E28" s="3" t="inlineStr">
        <is>
          <t>2017-05-25</t>
        </is>
      </c>
      <c r="F28" s="3" t="inlineStr">
        <is>
          <t>博士</t>
        </is>
      </c>
      <c r="G28" s="6" t="n">
        <v>17721</v>
      </c>
      <c r="H28" s="3" t="inlineStr">
        <is>
          <t>B</t>
        </is>
      </c>
    </row>
    <row r="29">
      <c r="A29" s="3" t="inlineStr">
        <is>
          <t>EMP0929</t>
        </is>
      </c>
      <c r="B29" s="3" t="inlineStr">
        <is>
          <t>吴敏</t>
        </is>
      </c>
      <c r="C29" s="3" t="inlineStr">
        <is>
          <t>市场部</t>
        </is>
      </c>
      <c r="D29" s="3" t="inlineStr">
        <is>
          <t>专员</t>
        </is>
      </c>
      <c r="E29" s="3" t="inlineStr">
        <is>
          <t>2020-12-18</t>
        </is>
      </c>
      <c r="F29" s="3" t="inlineStr">
        <is>
          <t>本科</t>
        </is>
      </c>
      <c r="G29" s="6" t="n">
        <v>19945</v>
      </c>
      <c r="H29" s="3" t="inlineStr">
        <is>
          <t>B+</t>
        </is>
      </c>
    </row>
    <row r="30">
      <c r="A30" s="3" t="inlineStr">
        <is>
          <t>EMP0930</t>
        </is>
      </c>
      <c r="B30" s="3" t="inlineStr">
        <is>
          <t>宋伟</t>
        </is>
      </c>
      <c r="C30" s="3" t="inlineStr">
        <is>
          <t>市场部</t>
        </is>
      </c>
      <c r="D30" s="3" t="inlineStr">
        <is>
          <t>高级工程师</t>
        </is>
      </c>
      <c r="E30" s="3" t="inlineStr">
        <is>
          <t>2021-01-11</t>
        </is>
      </c>
      <c r="F30" s="3" t="inlineStr">
        <is>
          <t>硕士</t>
        </is>
      </c>
      <c r="G30" s="6" t="n">
        <v>36894</v>
      </c>
      <c r="H30" s="3" t="inlineStr">
        <is>
          <t>B</t>
        </is>
      </c>
    </row>
    <row r="31">
      <c r="A31" s="3" t="inlineStr">
        <is>
          <t>EMP0931</t>
        </is>
      </c>
      <c r="B31" s="3" t="inlineStr">
        <is>
          <t>孙伟</t>
        </is>
      </c>
      <c r="C31" s="3" t="inlineStr">
        <is>
          <t>市场部</t>
        </is>
      </c>
      <c r="D31" s="3" t="inlineStr">
        <is>
          <t>专员</t>
        </is>
      </c>
      <c r="E31" s="3" t="inlineStr">
        <is>
          <t>2022-11-11</t>
        </is>
      </c>
      <c r="F31" s="3" t="inlineStr">
        <is>
          <t>本科</t>
        </is>
      </c>
      <c r="G31" s="6" t="n">
        <v>17695</v>
      </c>
      <c r="H31" s="3" t="inlineStr">
        <is>
          <t>B</t>
        </is>
      </c>
    </row>
    <row r="32">
      <c r="A32" s="3" t="inlineStr">
        <is>
          <t>EMP0932</t>
        </is>
      </c>
      <c r="B32" s="3" t="inlineStr">
        <is>
          <t>朱静</t>
        </is>
      </c>
      <c r="C32" s="3" t="inlineStr">
        <is>
          <t>市场部</t>
        </is>
      </c>
      <c r="D32" s="3" t="inlineStr">
        <is>
          <t>专员</t>
        </is>
      </c>
      <c r="E32" s="3" t="inlineStr">
        <is>
          <t>2018-02-01</t>
        </is>
      </c>
      <c r="F32" s="3" t="inlineStr">
        <is>
          <t>大专</t>
        </is>
      </c>
      <c r="G32" s="6" t="n">
        <v>40729</v>
      </c>
      <c r="H32" s="3" t="inlineStr">
        <is>
          <t>B+</t>
        </is>
      </c>
    </row>
    <row r="33">
      <c r="A33" s="3" t="inlineStr">
        <is>
          <t>EMP0933</t>
        </is>
      </c>
      <c r="B33" s="3" t="inlineStr">
        <is>
          <t>曹敏</t>
        </is>
      </c>
      <c r="C33" s="3" t="inlineStr">
        <is>
          <t>销售部</t>
        </is>
      </c>
      <c r="D33" s="3" t="inlineStr">
        <is>
          <t>高级工程师</t>
        </is>
      </c>
      <c r="E33" s="3" t="inlineStr">
        <is>
          <t>2022-12-18</t>
        </is>
      </c>
      <c r="F33" s="3" t="inlineStr">
        <is>
          <t>本科</t>
        </is>
      </c>
      <c r="G33" s="6" t="n">
        <v>27369</v>
      </c>
      <c r="H33" s="3" t="inlineStr">
        <is>
          <t>C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2026-05-07T15:51:00Z</dcterms:created>
  <dcterms:modified xmlns:dcterms="http://purl.org/dc/terms/" xmlns:xsi="http://www.w3.org/2001/XMLSchema-instance" xsi:type="dcterms:W3CDTF">2026-05-07T15:51:00Z</dcterms:modified>
</cp:coreProperties>
</file>